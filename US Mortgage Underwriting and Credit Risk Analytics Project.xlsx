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XL Dynamics Project\"/>
    </mc:Choice>
  </mc:AlternateContent>
  <bookViews>
    <workbookView xWindow="0" yWindow="0" windowWidth="23040" windowHeight="10332" firstSheet="4" activeTab="6"/>
  </bookViews>
  <sheets>
    <sheet name="Main Sheet" sheetId="1" r:id="rId1"/>
    <sheet name="DashBoard" sheetId="8" r:id="rId2"/>
    <sheet name="KPI Sheet" sheetId="2" r:id="rId3"/>
    <sheet name="Loan Decision" sheetId="4" r:id="rId4"/>
    <sheet name="Borrower Quality Distribution" sheetId="5" r:id="rId5"/>
    <sheet name="Risk Analysis" sheetId="6" r:id="rId6"/>
    <sheet name="Collateral Exposure Analysis" sheetId="7" r:id="rId7"/>
  </sheets>
  <definedNames>
    <definedName name="_xlnm._FilterDatabase" localSheetId="2" hidden="1">'KPI Sheet'!$B$2:$C$7</definedName>
    <definedName name="_xlnm._FilterDatabase" localSheetId="0" hidden="1">'Main Sheet'!$A$1:$M$401</definedName>
    <definedName name="_xlchart.0" hidden="1">'Main Sheet'!$D$1</definedName>
    <definedName name="_xlchart.1" hidden="1">'Main Sheet'!$D$2:$D$402</definedName>
    <definedName name="_xlchart.2" hidden="1">'Main Sheet'!$K$1</definedName>
    <definedName name="_xlchart.3" hidden="1">'Main Sheet'!$K$2:$K$402</definedName>
  </definedNames>
  <calcPr calcId="162913"/>
  <pivotCaches>
    <pivotCache cacheId="0" r:id="rId8"/>
  </pivotCaches>
</workbook>
</file>

<file path=xl/calcChain.xml><?xml version="1.0" encoding="utf-8"?>
<calcChain xmlns="http://schemas.openxmlformats.org/spreadsheetml/2006/main">
  <c r="N3" i="1" l="1"/>
  <c r="C7" i="2" l="1"/>
  <c r="C6" i="2"/>
  <c r="C5" i="2"/>
  <c r="C4" i="2"/>
  <c r="C3" i="2"/>
</calcChain>
</file>

<file path=xl/sharedStrings.xml><?xml version="1.0" encoding="utf-8"?>
<sst xmlns="http://schemas.openxmlformats.org/spreadsheetml/2006/main" count="2065" uniqueCount="511">
  <si>
    <t>Borrower_ID</t>
  </si>
  <si>
    <t>Annual_Income</t>
  </si>
  <si>
    <t>Monthly_Debt</t>
  </si>
  <si>
    <t>Credit_Score</t>
  </si>
  <si>
    <t>Loan_Amount</t>
  </si>
  <si>
    <t>Property_Value</t>
  </si>
  <si>
    <t>Employment_Years</t>
  </si>
  <si>
    <t>Loan_Type</t>
  </si>
  <si>
    <t>State</t>
  </si>
  <si>
    <t>DTI_Ratio</t>
  </si>
  <si>
    <t>LTV_Ratio</t>
  </si>
  <si>
    <t>Risk_Category</t>
  </si>
  <si>
    <t>Loan_Decision</t>
  </si>
  <si>
    <t>B101</t>
  </si>
  <si>
    <t>Jumbo</t>
  </si>
  <si>
    <t>Washington</t>
  </si>
  <si>
    <t>Moderate Risk</t>
  </si>
  <si>
    <t>Conditional Approval</t>
  </si>
  <si>
    <t>B102</t>
  </si>
  <si>
    <t>VA</t>
  </si>
  <si>
    <t>Alabama</t>
  </si>
  <si>
    <t>Approved</t>
  </si>
  <si>
    <t>B103</t>
  </si>
  <si>
    <t>Louisiana</t>
  </si>
  <si>
    <t>Low Risk</t>
  </si>
  <si>
    <t>B104</t>
  </si>
  <si>
    <t>Vermont</t>
  </si>
  <si>
    <t>High Risk</t>
  </si>
  <si>
    <t>Rejected</t>
  </si>
  <si>
    <t>B105</t>
  </si>
  <si>
    <t>West Virginia</t>
  </si>
  <si>
    <t>B106</t>
  </si>
  <si>
    <t>FHA</t>
  </si>
  <si>
    <t>Michigan</t>
  </si>
  <si>
    <t>B107</t>
  </si>
  <si>
    <t>New Jersey</t>
  </si>
  <si>
    <t>B108</t>
  </si>
  <si>
    <t>Rhode Island</t>
  </si>
  <si>
    <t>B109</t>
  </si>
  <si>
    <t>Georgia</t>
  </si>
  <si>
    <t>B110</t>
  </si>
  <si>
    <t>Massachusetts</t>
  </si>
  <si>
    <t>B111</t>
  </si>
  <si>
    <t>Utah</t>
  </si>
  <si>
    <t>B112</t>
  </si>
  <si>
    <t>Conventional</t>
  </si>
  <si>
    <t>Connecticut</t>
  </si>
  <si>
    <t>B113</t>
  </si>
  <si>
    <t>B114</t>
  </si>
  <si>
    <t>Maryland</t>
  </si>
  <si>
    <t>B115</t>
  </si>
  <si>
    <t>South Dakota</t>
  </si>
  <si>
    <t>B116</t>
  </si>
  <si>
    <t>Minnesota</t>
  </si>
  <si>
    <t>B117</t>
  </si>
  <si>
    <t>Virginia</t>
  </si>
  <si>
    <t>B118</t>
  </si>
  <si>
    <t>Nebraska</t>
  </si>
  <si>
    <t>B119</t>
  </si>
  <si>
    <t>Illinois</t>
  </si>
  <si>
    <t>B120</t>
  </si>
  <si>
    <t>Wisconsin</t>
  </si>
  <si>
    <t>B121</t>
  </si>
  <si>
    <t>Mississippi</t>
  </si>
  <si>
    <t>B122</t>
  </si>
  <si>
    <t>B123</t>
  </si>
  <si>
    <t>South Carolina</t>
  </si>
  <si>
    <t>B124</t>
  </si>
  <si>
    <t>B125</t>
  </si>
  <si>
    <t>Missouri</t>
  </si>
  <si>
    <t>B126</t>
  </si>
  <si>
    <t>B127</t>
  </si>
  <si>
    <t>Maine</t>
  </si>
  <si>
    <t>B128</t>
  </si>
  <si>
    <t>B129</t>
  </si>
  <si>
    <t>Iowa</t>
  </si>
  <si>
    <t>B130</t>
  </si>
  <si>
    <t>Nevada</t>
  </si>
  <si>
    <t>B131</t>
  </si>
  <si>
    <t>Arizona</t>
  </si>
  <si>
    <t>B132</t>
  </si>
  <si>
    <t>B133</t>
  </si>
  <si>
    <t>North Carolina</t>
  </si>
  <si>
    <t>B134</t>
  </si>
  <si>
    <t>Delaware</t>
  </si>
  <si>
    <t>B135</t>
  </si>
  <si>
    <t>Alaska</t>
  </si>
  <si>
    <t>B136</t>
  </si>
  <si>
    <t>B137</t>
  </si>
  <si>
    <t>New Mexico</t>
  </si>
  <si>
    <t>B138</t>
  </si>
  <si>
    <t>Hawaii</t>
  </si>
  <si>
    <t>B139</t>
  </si>
  <si>
    <t>B140</t>
  </si>
  <si>
    <t>B141</t>
  </si>
  <si>
    <t>B142</t>
  </si>
  <si>
    <t>California</t>
  </si>
  <si>
    <t>B143</t>
  </si>
  <si>
    <t>B144</t>
  </si>
  <si>
    <t>Arkansas</t>
  </si>
  <si>
    <t>B145</t>
  </si>
  <si>
    <t>B146</t>
  </si>
  <si>
    <t>B147</t>
  </si>
  <si>
    <t>B148</t>
  </si>
  <si>
    <t>B149</t>
  </si>
  <si>
    <t>Kentucky</t>
  </si>
  <si>
    <t>B150</t>
  </si>
  <si>
    <t>B151</t>
  </si>
  <si>
    <t>Indiana</t>
  </si>
  <si>
    <t>B152</t>
  </si>
  <si>
    <t>B153</t>
  </si>
  <si>
    <t>B154</t>
  </si>
  <si>
    <t>B155</t>
  </si>
  <si>
    <t>North Dakota</t>
  </si>
  <si>
    <t>B156</t>
  </si>
  <si>
    <t>Tennessee</t>
  </si>
  <si>
    <t>B157</t>
  </si>
  <si>
    <t>B158</t>
  </si>
  <si>
    <t>B159</t>
  </si>
  <si>
    <t>B160</t>
  </si>
  <si>
    <t>Texas</t>
  </si>
  <si>
    <t>B161</t>
  </si>
  <si>
    <t>Wyoming</t>
  </si>
  <si>
    <t>B162</t>
  </si>
  <si>
    <t>B163</t>
  </si>
  <si>
    <t>New Hampshire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</si>
  <si>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</si>
  <si>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</si>
  <si>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</si>
  <si>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</si>
  <si>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</si>
  <si>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</si>
  <si>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</si>
  <si>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</si>
  <si>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</si>
  <si>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</si>
  <si>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</si>
  <si>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</si>
  <si>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</si>
  <si>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</si>
  <si>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Montana</t>
  </si>
  <si>
    <t>B178</t>
  </si>
  <si>
    <t>B179</t>
  </si>
  <si>
    <t>B180</t>
  </si>
  <si>
    <t>B181</t>
  </si>
  <si>
    <t>Florida</t>
  </si>
  <si>
    <t>B182</t>
  </si>
  <si>
    <t>B183</t>
  </si>
  <si>
    <t>B184</t>
  </si>
  <si>
    <t>B185</t>
  </si>
  <si>
    <t>B186</t>
  </si>
  <si>
    <t>B187</t>
  </si>
  <si>
    <t>Kansas</t>
  </si>
  <si>
    <t>B188</t>
  </si>
  <si>
    <t>B189</t>
  </si>
  <si>
    <t>B190</t>
  </si>
  <si>
    <t>B191</t>
  </si>
  <si>
    <t>New York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</si>
  <si>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</si>
  <si>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</si>
  <si>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</si>
  <si>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</si>
  <si>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</si>
  <si>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</si>
  <si>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</si>
  <si>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</si>
  <si>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</si>
  <si>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</si>
  <si>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</si>
  <si>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</si>
  <si>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</si>
  <si>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</si>
  <si>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Ohio</t>
  </si>
  <si>
    <t>B206</t>
  </si>
  <si>
    <t>B207</t>
  </si>
  <si>
    <t>B208</t>
  </si>
  <si>
    <t>B209</t>
  </si>
  <si>
    <t>B210</t>
  </si>
  <si>
    <t>Colorado</t>
  </si>
  <si>
    <t>B211</t>
  </si>
  <si>
    <t>B212</t>
  </si>
  <si>
    <t>B213</t>
  </si>
  <si>
    <t>B214</t>
  </si>
  <si>
    <t>B215</t>
  </si>
  <si>
    <t>B216</t>
  </si>
  <si>
    <t>B217</t>
  </si>
  <si>
    <t>B218</t>
  </si>
  <si>
    <t>Pennsylvania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</si>
  <si>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</si>
  <si>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</si>
  <si>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</si>
  <si>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</si>
  <si>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</si>
  <si>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</si>
  <si>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</si>
  <si>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</si>
  <si>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</si>
  <si>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</si>
  <si>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</si>
  <si>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</si>
  <si>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</si>
  <si>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</si>
  <si>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</si>
  <si>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</si>
  <si>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Idaho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</si>
  <si>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</si>
  <si>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</si>
  <si>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</si>
  <si>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</si>
  <si>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</si>
  <si>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</si>
  <si>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</si>
  <si>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</si>
  <si>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</si>
  <si>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</si>
  <si>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</si>
  <si>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</si>
  <si>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</si>
  <si>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</si>
  <si>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</si>
  <si>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</si>
  <si>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</si>
  <si>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Oklahoma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</si>
  <si>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</si>
  <si>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</si>
  <si>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</si>
  <si>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</si>
  <si>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</si>
  <si>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</si>
  <si>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</si>
  <si>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</si>
  <si>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</si>
  <si>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</si>
  <si>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</si>
  <si>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</si>
  <si>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</si>
  <si>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</si>
  <si>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</si>
  <si>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Oregon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</si>
  <si>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</si>
  <si>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</si>
  <si>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</si>
  <si>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</si>
  <si>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</si>
  <si>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</si>
  <si>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</si>
  <si>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</si>
  <si>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</si>
  <si>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</si>
  <si>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</si>
  <si>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</si>
  <si>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</si>
  <si>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</si>
  <si>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</si>
  <si>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</si>
  <si>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</si>
  <si>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</si>
  <si>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</si>
  <si>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</si>
  <si>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</si>
  <si>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</si>
  <si>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</si>
  <si>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</si>
  <si>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</si>
  <si>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</si>
  <si>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</si>
  <si>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</si>
  <si>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</si>
  <si>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</si>
  <si>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</si>
  <si>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</si>
  <si>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</si>
  <si>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</si>
  <si>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</si>
  <si>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</si>
  <si>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</si>
  <si>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</si>
  <si>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</si>
  <si>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</si>
  <si>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</si>
  <si>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</si>
  <si>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</si>
  <si>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</si>
  <si>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</si>
  <si>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</si>
  <si>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</si>
  <si>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</si>
  <si>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</si>
  <si>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</si>
  <si>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</si>
  <si>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</si>
  <si>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</si>
  <si>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</si>
  <si>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</si>
  <si>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</si>
  <si>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</si>
  <si>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</si>
  <si>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</si>
  <si>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</si>
  <si>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</si>
  <si>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</si>
  <si>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</si>
  <si>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</si>
  <si>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</si>
  <si>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</si>
  <si>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</si>
  <si>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</si>
  <si>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</si>
  <si>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</si>
  <si>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</si>
  <si>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</si>
  <si>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</si>
  <si>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</si>
  <si>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</si>
  <si>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</si>
  <si>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</si>
  <si>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</si>
  <si>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</si>
  <si>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</si>
  <si>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</si>
  <si>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</si>
  <si>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</si>
  <si>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</si>
  <si>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</si>
  <si>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</si>
  <si>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</si>
  <si>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</si>
  <si>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</si>
  <si>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</si>
  <si>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</si>
  <si>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</si>
  <si>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</si>
  <si>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</si>
  <si>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</si>
  <si>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</si>
  <si>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</si>
  <si>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</si>
  <si>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</si>
  <si>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</si>
  <si>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</si>
  <si>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</si>
  <si>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</si>
  <si>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</si>
  <si>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</si>
  <si>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</si>
  <si>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</si>
  <si>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</si>
  <si>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</si>
  <si>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</si>
  <si>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</si>
  <si>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</si>
  <si>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</si>
  <si>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</si>
  <si>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</si>
  <si>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</si>
  <si>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</si>
  <si>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</si>
  <si>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</si>
  <si>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</si>
  <si>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</si>
  <si>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</si>
  <si>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</si>
  <si>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</si>
  <si>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</si>
  <si>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</si>
  <si>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</si>
  <si>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</si>
  <si>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</si>
  <si>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</si>
  <si>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</si>
  <si>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</si>
  <si>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</si>
  <si>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</si>
  <si>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</si>
  <si>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</si>
  <si>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</si>
  <si>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</si>
  <si>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</si>
  <si>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</si>
  <si>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</si>
  <si>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</si>
  <si>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</si>
  <si>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</si>
  <si>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</si>
  <si>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</si>
  <si>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</si>
  <si>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</si>
  <si>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</si>
  <si>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</si>
  <si>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</si>
  <si>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</si>
  <si>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</si>
  <si>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</si>
  <si>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</si>
  <si>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</si>
  <si>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</si>
  <si>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</si>
  <si>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</si>
  <si>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</si>
  <si>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</si>
  <si>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</si>
  <si>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</si>
  <si>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</si>
  <si>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</si>
  <si>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</si>
  <si>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</si>
  <si>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</si>
  <si>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</si>
  <si>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</si>
  <si>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</si>
  <si>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</si>
  <si>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</si>
  <si>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</si>
  <si>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</si>
  <si>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</si>
  <si>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</si>
  <si>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</si>
  <si>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</si>
  <si>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</si>
  <si>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</si>
  <si>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</si>
  <si>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</si>
  <si>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</si>
  <si>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</si>
  <si>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</si>
  <si>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</si>
  <si>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</si>
  <si>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</si>
  <si>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</si>
  <si>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</si>
  <si>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</si>
  <si>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</si>
  <si>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</si>
  <si>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</si>
  <si>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</si>
  <si>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</si>
  <si>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</si>
  <si>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</si>
  <si>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</si>
  <si>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</si>
  <si>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</si>
  <si>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</si>
  <si>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</si>
  <si>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</si>
  <si>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</si>
  <si>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</si>
  <si>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</si>
  <si>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</si>
  <si>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</si>
  <si>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</si>
  <si>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</si>
  <si>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</si>
  <si>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</si>
  <si>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</si>
  <si>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</si>
  <si>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</si>
  <si>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</si>
  <si>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</si>
  <si>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</si>
  <si>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</si>
  <si>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</si>
  <si>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</si>
  <si>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</si>
  <si>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</si>
  <si>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</si>
  <si>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</si>
  <si>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</si>
  <si>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</si>
  <si>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</si>
  <si>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</si>
  <si>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</si>
  <si>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</si>
  <si>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</si>
  <si>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Total Applications</t>
  </si>
  <si>
    <t>Average Credit Score</t>
  </si>
  <si>
    <t>Average DTI</t>
  </si>
  <si>
    <t>Approval Rate</t>
  </si>
  <si>
    <t>High Risk Count</t>
  </si>
  <si>
    <t>KPI</t>
  </si>
  <si>
    <t>Value</t>
  </si>
  <si>
    <t>Count of Loan_Decision</t>
  </si>
  <si>
    <t>(All)</t>
  </si>
  <si>
    <t>(Multiple Items)</t>
  </si>
  <si>
    <t>Business Insights:</t>
  </si>
  <si>
    <t>Approval Rate is Only 19%  indicates a highly selective underwriting process focused on minimizing default risk and maintaining portfolio quality.</t>
  </si>
  <si>
    <t>Average Credit Score is 647 which implies The borrower pool sits near the subprime-to-fair range, meaning the bank is dealing with moderate credit risk exposure.</t>
  </si>
  <si>
    <t>Average DTI is 20.26% which implies Most borrowers maintain manageable debt obligations, suggesting repayment capacity is generally stable despite lower credit scores.</t>
  </si>
  <si>
    <t>FHA Loans Dominate the Pipeline showing strong demand from first-time or moderate-income borrowers.</t>
  </si>
  <si>
    <t>VA Loans Have Strong Conversion Efficiency indicating lower perceived lender risk.</t>
  </si>
  <si>
    <t>Jumbo Loans Show Higher Screening Intensity experiencing tighter approval scrutiny and stronger risk filtering.</t>
  </si>
  <si>
    <t>Business Insights</t>
  </si>
  <si>
    <t>Most Borrowers Fall into Medium Risk Categories</t>
  </si>
  <si>
    <t>High Credit Quality Borrowers Receive Faster Approvals</t>
  </si>
  <si>
    <t>Lower Quality Borrowers Increase Operational Load</t>
  </si>
  <si>
    <t>Borrowers with lower credit scores and higher LTV ratios contribute most to underwriting risk.</t>
  </si>
  <si>
    <t>Many rejected applications likely exceeded acceptable collateral or repayment thresholds.</t>
  </si>
  <si>
    <t>Categorizing borrowers into risk bands enables better pricing, approval decisions, and reserve planning.</t>
  </si>
  <si>
    <t>Loans with minimal borrower equity increase foreclosure and recovery risk for the lender.</t>
  </si>
  <si>
    <t>Expensive collateral alone is insufficient if borrower leverage remains excessive.</t>
  </si>
  <si>
    <t xml:space="preserve">Loans with moderate collateral coverage provide better protection against market fluctuations and defaults.
</t>
  </si>
  <si>
    <t>US Mortgage Underwriting &amp; Credit Risk Analytics Dashboards</t>
  </si>
  <si>
    <t>Objective:</t>
  </si>
  <si>
    <t xml:space="preserve"> Analyze borrower financial profiles using DTI, LTV, Credit Score and Under Writing Metric to assess mortgage risk and approval eligibility</t>
  </si>
  <si>
    <t>Dashboard Index:</t>
  </si>
  <si>
    <t>KPI Sheet</t>
  </si>
  <si>
    <t>Loan Decision Sheet</t>
  </si>
  <si>
    <t>Borrower Quality Distribution Sheet</t>
  </si>
  <si>
    <t>Risk Analysis Sheet</t>
  </si>
  <si>
    <t>Collateral Exposure Analysis Sheet</t>
  </si>
  <si>
    <t>Molleti Muralee Mohan Sashank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</si>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</sst>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1" fillId="0" borderId="3" xfId="0" applyFont="1" applyBorder="1"/>
    <xf numFmtId="0" fontId="2" fillId="2" borderId="12" xfId="0" applyFont="1" applyFill="1" applyBorder="1" applyAlignment="1">
      <alignment horizontal="center" vertical="top"/>
    </xf>
    <xf numFmtId="0" fontId="1" fillId="0" borderId="9" xfId="0" applyFont="1" applyBorder="1"/>
    <xf numFmtId="0" fontId="1" fillId="0" borderId="6" xfId="0" applyFont="1" applyBorder="1"/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" fillId="0" borderId="13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0" xfId="0" applyFont="1" applyAlignment="1"/>
    <xf numFmtId="0" fontId="1" fillId="0" borderId="1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/>
    <xf numFmtId="0" fontId="1" fillId="0" borderId="0" xfId="0" applyFont="1" applyBorder="1" applyAlignment="1"/>
    <xf numFmtId="0" fontId="1" fillId="0" borderId="14" xfId="0" applyFont="1" applyBorder="1" applyAlignment="1"/>
    <xf numFmtId="0" fontId="1" fillId="0" borderId="13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3" xfId="0" applyFont="1" applyBorder="1"/>
    <xf numFmtId="0" fontId="1" fillId="0" borderId="0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/>
    <xf numFmtId="0" fontId="1" fillId="0" borderId="19" xfId="0" applyFont="1" applyBorder="1" applyAlignment="1"/>
    <xf numFmtId="0" fontId="1" fillId="0" borderId="20" xfId="0" applyFont="1" applyBorder="1" applyAlignment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0" xfId="1"/>
    <xf numFmtId="0" fontId="5" fillId="0" borderId="0" xfId="1" applyFill="1" applyBorder="1"/>
  </cellXfs>
  <cellStyles count="2">
    <cellStyle name="Hyperlink" xfId="1" builtinId="8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66"/>
        </patternFill>
      </fill>
    </dxf>
  </dxfs>
  <tableStyles count="0" defaultTableStyle="TableStyleMedium9" defaultPivotStyle="PivotStyleLight16"/>
  <colors>
    <mruColors>
      <color rgb="FFFF3300"/>
      <color rgb="FFFF00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[US Mortgage Underwriting and Credit Risk Analytics Project.xlsx]Loan Decision!PivotTable5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Approval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'Loan Decision'!$B$4:$B$5</c:f>
              <c:strCache>
                <c:ptCount val="1"/>
                <c:pt idx="0">
                  <c:v>Conventional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'Loan Decision'!$A$6:$A$8</c:f>
              <c:strCache>
                <c:ptCount val="3"/>
                <c:pt idx="0">
                  <c:v>Approved</c:v>
                </c:pt>
                <c:pt idx="1">
                  <c:v>Conditional Approval</c:v>
                </c:pt>
                <c:pt idx="2">
                  <c:v>Rejected</c:v>
                </c:pt>
              </c:strCache>
            </c:strRef>
          </c:cat>
          <c:val>
            <c:numRef>
              <c:f>'Loan Decision'!$B$6:$B$8</c:f>
              <c:numCache>
                <c:formatCode>General</c:formatCode>
                <c:ptCount val="3"/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B-4962-B98B-0587D3A8D280}"/>
            </c:ext>
          </c:extLst>
        </c:ser>
        <c:ser>
          <c:idx val="1"/>
          <c:order val="1"/>
          <c:tx>
            <c:strRef>
              <c:f>'Loan Decision'!$C$4:$C$5</c:f>
              <c:strCache>
                <c:ptCount val="1"/>
                <c:pt idx="0">
                  <c:v>FHA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'Loan Decision'!$A$6:$A$8</c:f>
              <c:strCache>
                <c:ptCount val="3"/>
                <c:pt idx="0">
                  <c:v>Approved</c:v>
                </c:pt>
                <c:pt idx="1">
                  <c:v>Conditional Approval</c:v>
                </c:pt>
                <c:pt idx="2">
                  <c:v>Rejected</c:v>
                </c:pt>
              </c:strCache>
            </c:strRef>
          </c:cat>
          <c:val>
            <c:numRef>
              <c:f>'Loan Decision'!$C$6:$C$8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E0FB-4962-B98B-0587D3A8D280}"/>
            </c:ext>
          </c:extLst>
        </c:ser>
        <c:ser>
          <c:idx val="2"/>
          <c:order val="2"/>
          <c:tx>
            <c:strRef>
              <c:f>'Loan Decision'!$D$4:$D$5</c:f>
              <c:strCache>
                <c:ptCount val="1"/>
                <c:pt idx="0">
                  <c:v>Jumbo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'Loan Decision'!$A$6:$A$8</c:f>
              <c:strCache>
                <c:ptCount val="3"/>
                <c:pt idx="0">
                  <c:v>Approved</c:v>
                </c:pt>
                <c:pt idx="1">
                  <c:v>Conditional Approval</c:v>
                </c:pt>
                <c:pt idx="2">
                  <c:v>Rejected</c:v>
                </c:pt>
              </c:strCache>
            </c:strRef>
          </c:cat>
          <c:val>
            <c:numRef>
              <c:f>'Loan Decision'!$D$6:$D$8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E0FB-4962-B98B-0587D3A8D280}"/>
            </c:ext>
          </c:extLst>
        </c:ser>
        <c:ser>
          <c:idx val="3"/>
          <c:order val="3"/>
          <c:tx>
            <c:strRef>
              <c:f>'Loan Decision'!$E$4:$E$5</c:f>
              <c:strCache>
                <c:ptCount val="1"/>
                <c:pt idx="0">
                  <c:v>VA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'Loan Decision'!$A$6:$A$8</c:f>
              <c:strCache>
                <c:ptCount val="3"/>
                <c:pt idx="0">
                  <c:v>Approved</c:v>
                </c:pt>
                <c:pt idx="1">
                  <c:v>Conditional Approval</c:v>
                </c:pt>
                <c:pt idx="2">
                  <c:v>Rejected</c:v>
                </c:pt>
              </c:strCache>
            </c:strRef>
          </c:cat>
          <c:val>
            <c:numRef>
              <c:f>'Loan Decision'!$E$6:$E$8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E0FB-4962-B98B-0587D3A8D2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1864320943"/>
        <c:axId val="1864319279"/>
      </c:barChart>
      <c:catAx>
        <c:axId val="18643209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19279"/>
        <c:crosses val="autoZero"/>
        <c:auto val="1"/>
        <c:lblAlgn val="ctr"/>
        <c:lblOffset val="100"/>
        <c:noMultiLvlLbl val="0"/>
      </c:catAx>
      <c:valAx>
        <c:axId val="1864319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2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Credit Score</a:t>
            </a:r>
          </a:p>
        </cx:rich>
      </cx:tx>
    </cx:title>
    <cx:plotArea>
      <cx:plotAreaRegion>
        <cx:series layoutId="clusteredColumn" uniqueId="{E3586BAB-3FC8-4F84-B0E0-ABE1175E1615}">
          <cx:tx>
            <cx:txData>
              <cx:f>_xlchart.0</cx:f>
              <cx:v>Credit_Score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Loan Amount vs DTI Ratio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'Main Sheet'!$J$1</c:f>
              <c:strCache>
                <c:ptCount val="1"/>
                <c:pt idx="0">
                  <c:v>DTI_Ratio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numRef>
              <c:f>'Main Sheet'!$E$2:$E$402</c:f>
              <c:numCache>
                <c:formatCode>General</c:formatCode>
                <c:ptCount val="401"/>
                <c:pt idx="0">
                  <c:v>448917</c:v>
                </c:pt>
                <c:pt idx="1">
                  <c:v>293094</c:v>
                </c:pt>
                <c:pt idx="2">
                  <c:v>102526</c:v>
                </c:pt>
                <c:pt idx="3">
                  <c:v>567594</c:v>
                </c:pt>
                <c:pt idx="4">
                  <c:v>638113</c:v>
                </c:pt>
                <c:pt idx="5">
                  <c:v>201777</c:v>
                </c:pt>
                <c:pt idx="6">
                  <c:v>478008</c:v>
                </c:pt>
                <c:pt idx="7">
                  <c:v>787576</c:v>
                </c:pt>
                <c:pt idx="8">
                  <c:v>899044</c:v>
                </c:pt>
                <c:pt idx="9">
                  <c:v>868160</c:v>
                </c:pt>
                <c:pt idx="10">
                  <c:v>770763</c:v>
                </c:pt>
                <c:pt idx="11">
                  <c:v>510865</c:v>
                </c:pt>
                <c:pt idx="12">
                  <c:v>358713</c:v>
                </c:pt>
                <c:pt idx="13">
                  <c:v>905228</c:v>
                </c:pt>
                <c:pt idx="14">
                  <c:v>591864</c:v>
                </c:pt>
                <c:pt idx="15">
                  <c:v>547191</c:v>
                </c:pt>
                <c:pt idx="16">
                  <c:v>355009</c:v>
                </c:pt>
                <c:pt idx="17">
                  <c:v>405673</c:v>
                </c:pt>
                <c:pt idx="18">
                  <c:v>176012</c:v>
                </c:pt>
                <c:pt idx="19">
                  <c:v>730289</c:v>
                </c:pt>
                <c:pt idx="20">
                  <c:v>420141</c:v>
                </c:pt>
                <c:pt idx="21">
                  <c:v>798906</c:v>
                </c:pt>
                <c:pt idx="22">
                  <c:v>979221</c:v>
                </c:pt>
                <c:pt idx="23">
                  <c:v>100978</c:v>
                </c:pt>
                <c:pt idx="24">
                  <c:v>111499</c:v>
                </c:pt>
                <c:pt idx="25">
                  <c:v>450651</c:v>
                </c:pt>
                <c:pt idx="26">
                  <c:v>284354</c:v>
                </c:pt>
                <c:pt idx="27">
                  <c:v>886940</c:v>
                </c:pt>
                <c:pt idx="28">
                  <c:v>753762</c:v>
                </c:pt>
                <c:pt idx="29">
                  <c:v>455892</c:v>
                </c:pt>
                <c:pt idx="30">
                  <c:v>385604</c:v>
                </c:pt>
                <c:pt idx="31">
                  <c:v>144210</c:v>
                </c:pt>
                <c:pt idx="32">
                  <c:v>247986</c:v>
                </c:pt>
                <c:pt idx="33">
                  <c:v>652404</c:v>
                </c:pt>
                <c:pt idx="34">
                  <c:v>160162</c:v>
                </c:pt>
                <c:pt idx="35">
                  <c:v>499503</c:v>
                </c:pt>
                <c:pt idx="36">
                  <c:v>586556</c:v>
                </c:pt>
                <c:pt idx="37">
                  <c:v>267279</c:v>
                </c:pt>
                <c:pt idx="38">
                  <c:v>776313</c:v>
                </c:pt>
                <c:pt idx="39">
                  <c:v>966209</c:v>
                </c:pt>
                <c:pt idx="40">
                  <c:v>158399</c:v>
                </c:pt>
                <c:pt idx="41">
                  <c:v>863110</c:v>
                </c:pt>
                <c:pt idx="42">
                  <c:v>860066</c:v>
                </c:pt>
                <c:pt idx="43">
                  <c:v>486771</c:v>
                </c:pt>
                <c:pt idx="44">
                  <c:v>370554</c:v>
                </c:pt>
                <c:pt idx="45">
                  <c:v>509571</c:v>
                </c:pt>
                <c:pt idx="46">
                  <c:v>134313</c:v>
                </c:pt>
                <c:pt idx="47">
                  <c:v>745601</c:v>
                </c:pt>
                <c:pt idx="48">
                  <c:v>319391</c:v>
                </c:pt>
                <c:pt idx="49">
                  <c:v>333689</c:v>
                </c:pt>
                <c:pt idx="50">
                  <c:v>562189</c:v>
                </c:pt>
                <c:pt idx="51">
                  <c:v>806998</c:v>
                </c:pt>
                <c:pt idx="52">
                  <c:v>304074</c:v>
                </c:pt>
                <c:pt idx="53">
                  <c:v>656934</c:v>
                </c:pt>
                <c:pt idx="54">
                  <c:v>837209</c:v>
                </c:pt>
                <c:pt idx="55">
                  <c:v>294283</c:v>
                </c:pt>
                <c:pt idx="56">
                  <c:v>837650</c:v>
                </c:pt>
                <c:pt idx="57">
                  <c:v>783102</c:v>
                </c:pt>
                <c:pt idx="58">
                  <c:v>617027</c:v>
                </c:pt>
                <c:pt idx="59">
                  <c:v>86909</c:v>
                </c:pt>
                <c:pt idx="60">
                  <c:v>846194</c:v>
                </c:pt>
                <c:pt idx="61">
                  <c:v>148724</c:v>
                </c:pt>
                <c:pt idx="62">
                  <c:v>750471</c:v>
                </c:pt>
                <c:pt idx="63">
                  <c:v>90028</c:v>
                </c:pt>
                <c:pt idx="64">
                  <c:v>454096</c:v>
                </c:pt>
                <c:pt idx="65">
                  <c:v>849564</c:v>
                </c:pt>
                <c:pt idx="66">
                  <c:v>720212</c:v>
                </c:pt>
                <c:pt idx="67">
                  <c:v>52131</c:v>
                </c:pt>
                <c:pt idx="68">
                  <c:v>158620</c:v>
                </c:pt>
                <c:pt idx="69">
                  <c:v>471985</c:v>
                </c:pt>
                <c:pt idx="70">
                  <c:v>560403</c:v>
                </c:pt>
                <c:pt idx="71">
                  <c:v>564961</c:v>
                </c:pt>
                <c:pt idx="72">
                  <c:v>751811</c:v>
                </c:pt>
                <c:pt idx="73">
                  <c:v>722233</c:v>
                </c:pt>
                <c:pt idx="74">
                  <c:v>400121</c:v>
                </c:pt>
                <c:pt idx="75">
                  <c:v>758223</c:v>
                </c:pt>
                <c:pt idx="76">
                  <c:v>771874</c:v>
                </c:pt>
                <c:pt idx="77">
                  <c:v>900684</c:v>
                </c:pt>
                <c:pt idx="78">
                  <c:v>766871</c:v>
                </c:pt>
                <c:pt idx="79">
                  <c:v>850389</c:v>
                </c:pt>
                <c:pt idx="80">
                  <c:v>194124</c:v>
                </c:pt>
                <c:pt idx="81">
                  <c:v>279684</c:v>
                </c:pt>
                <c:pt idx="82">
                  <c:v>263515</c:v>
                </c:pt>
                <c:pt idx="83">
                  <c:v>397471</c:v>
                </c:pt>
                <c:pt idx="84">
                  <c:v>287056</c:v>
                </c:pt>
                <c:pt idx="85">
                  <c:v>913340</c:v>
                </c:pt>
                <c:pt idx="86">
                  <c:v>738389</c:v>
                </c:pt>
                <c:pt idx="87">
                  <c:v>918116</c:v>
                </c:pt>
                <c:pt idx="88">
                  <c:v>907957</c:v>
                </c:pt>
                <c:pt idx="89">
                  <c:v>454292</c:v>
                </c:pt>
                <c:pt idx="90">
                  <c:v>558818</c:v>
                </c:pt>
                <c:pt idx="91">
                  <c:v>263500</c:v>
                </c:pt>
                <c:pt idx="92">
                  <c:v>945553</c:v>
                </c:pt>
                <c:pt idx="93">
                  <c:v>963157</c:v>
                </c:pt>
                <c:pt idx="94">
                  <c:v>742554</c:v>
                </c:pt>
                <c:pt idx="95">
                  <c:v>432566</c:v>
                </c:pt>
                <c:pt idx="96">
                  <c:v>189540</c:v>
                </c:pt>
                <c:pt idx="97">
                  <c:v>472076</c:v>
                </c:pt>
                <c:pt idx="98">
                  <c:v>127731</c:v>
                </c:pt>
                <c:pt idx="99">
                  <c:v>716275</c:v>
                </c:pt>
                <c:pt idx="100">
                  <c:v>434719</c:v>
                </c:pt>
                <c:pt idx="101">
                  <c:v>340987</c:v>
                </c:pt>
                <c:pt idx="102">
                  <c:v>938014</c:v>
                </c:pt>
                <c:pt idx="103">
                  <c:v>974535</c:v>
                </c:pt>
                <c:pt idx="104">
                  <c:v>649425</c:v>
                </c:pt>
                <c:pt idx="105">
                  <c:v>578121</c:v>
                </c:pt>
                <c:pt idx="106">
                  <c:v>889481</c:v>
                </c:pt>
                <c:pt idx="107">
                  <c:v>869802</c:v>
                </c:pt>
                <c:pt idx="108">
                  <c:v>393919</c:v>
                </c:pt>
                <c:pt idx="109">
                  <c:v>221857</c:v>
                </c:pt>
                <c:pt idx="110">
                  <c:v>618351</c:v>
                </c:pt>
                <c:pt idx="111">
                  <c:v>842285</c:v>
                </c:pt>
                <c:pt idx="112">
                  <c:v>669838</c:v>
                </c:pt>
                <c:pt idx="113">
                  <c:v>231830</c:v>
                </c:pt>
                <c:pt idx="114">
                  <c:v>745828</c:v>
                </c:pt>
                <c:pt idx="115">
                  <c:v>677078</c:v>
                </c:pt>
                <c:pt idx="116">
                  <c:v>816995</c:v>
                </c:pt>
                <c:pt idx="117">
                  <c:v>200431</c:v>
                </c:pt>
                <c:pt idx="118">
                  <c:v>780541</c:v>
                </c:pt>
                <c:pt idx="119">
                  <c:v>753599</c:v>
                </c:pt>
                <c:pt idx="120">
                  <c:v>213454</c:v>
                </c:pt>
                <c:pt idx="121">
                  <c:v>442997</c:v>
                </c:pt>
                <c:pt idx="122">
                  <c:v>887939</c:v>
                </c:pt>
                <c:pt idx="123">
                  <c:v>400819</c:v>
                </c:pt>
                <c:pt idx="124">
                  <c:v>62361</c:v>
                </c:pt>
                <c:pt idx="125">
                  <c:v>304863</c:v>
                </c:pt>
                <c:pt idx="126">
                  <c:v>868238</c:v>
                </c:pt>
                <c:pt idx="127">
                  <c:v>999403</c:v>
                </c:pt>
                <c:pt idx="128">
                  <c:v>909652</c:v>
                </c:pt>
                <c:pt idx="129">
                  <c:v>393529</c:v>
                </c:pt>
                <c:pt idx="130">
                  <c:v>831235</c:v>
                </c:pt>
                <c:pt idx="131">
                  <c:v>939388</c:v>
                </c:pt>
                <c:pt idx="132">
                  <c:v>284721</c:v>
                </c:pt>
                <c:pt idx="133">
                  <c:v>324094</c:v>
                </c:pt>
                <c:pt idx="134">
                  <c:v>542223</c:v>
                </c:pt>
                <c:pt idx="135">
                  <c:v>466324</c:v>
                </c:pt>
                <c:pt idx="136">
                  <c:v>332741</c:v>
                </c:pt>
                <c:pt idx="137">
                  <c:v>400938</c:v>
                </c:pt>
                <c:pt idx="138">
                  <c:v>619439</c:v>
                </c:pt>
                <c:pt idx="139">
                  <c:v>979565</c:v>
                </c:pt>
                <c:pt idx="140">
                  <c:v>851182</c:v>
                </c:pt>
                <c:pt idx="141">
                  <c:v>419371</c:v>
                </c:pt>
                <c:pt idx="142">
                  <c:v>53888</c:v>
                </c:pt>
                <c:pt idx="143">
                  <c:v>118094</c:v>
                </c:pt>
                <c:pt idx="144">
                  <c:v>525206</c:v>
                </c:pt>
                <c:pt idx="145">
                  <c:v>436620</c:v>
                </c:pt>
                <c:pt idx="146">
                  <c:v>925198</c:v>
                </c:pt>
                <c:pt idx="147">
                  <c:v>814389</c:v>
                </c:pt>
                <c:pt idx="148">
                  <c:v>205820</c:v>
                </c:pt>
                <c:pt idx="149">
                  <c:v>972018</c:v>
                </c:pt>
                <c:pt idx="150">
                  <c:v>995067</c:v>
                </c:pt>
                <c:pt idx="151">
                  <c:v>441664</c:v>
                </c:pt>
                <c:pt idx="152">
                  <c:v>791018</c:v>
                </c:pt>
                <c:pt idx="153">
                  <c:v>454611</c:v>
                </c:pt>
                <c:pt idx="154">
                  <c:v>664376</c:v>
                </c:pt>
                <c:pt idx="155">
                  <c:v>851600</c:v>
                </c:pt>
                <c:pt idx="156">
                  <c:v>307713</c:v>
                </c:pt>
                <c:pt idx="157">
                  <c:v>224054</c:v>
                </c:pt>
                <c:pt idx="158">
                  <c:v>726840</c:v>
                </c:pt>
                <c:pt idx="159">
                  <c:v>988480</c:v>
                </c:pt>
                <c:pt idx="160">
                  <c:v>419861</c:v>
                </c:pt>
                <c:pt idx="161">
                  <c:v>558450</c:v>
                </c:pt>
                <c:pt idx="162">
                  <c:v>516503</c:v>
                </c:pt>
                <c:pt idx="163">
                  <c:v>78101</c:v>
                </c:pt>
                <c:pt idx="164">
                  <c:v>569846</c:v>
                </c:pt>
                <c:pt idx="165">
                  <c:v>185086</c:v>
                </c:pt>
                <c:pt idx="166">
                  <c:v>160950</c:v>
                </c:pt>
                <c:pt idx="167">
                  <c:v>284415</c:v>
                </c:pt>
                <c:pt idx="168">
                  <c:v>291966</c:v>
                </c:pt>
                <c:pt idx="169">
                  <c:v>126688</c:v>
                </c:pt>
                <c:pt idx="170">
                  <c:v>519463</c:v>
                </c:pt>
                <c:pt idx="171">
                  <c:v>517355</c:v>
                </c:pt>
                <c:pt idx="172">
                  <c:v>77990</c:v>
                </c:pt>
                <c:pt idx="173">
                  <c:v>297418</c:v>
                </c:pt>
                <c:pt idx="174">
                  <c:v>142555</c:v>
                </c:pt>
                <c:pt idx="175">
                  <c:v>56412</c:v>
                </c:pt>
                <c:pt idx="176">
                  <c:v>921638</c:v>
                </c:pt>
                <c:pt idx="177">
                  <c:v>525358</c:v>
                </c:pt>
                <c:pt idx="178">
                  <c:v>392449</c:v>
                </c:pt>
                <c:pt idx="179">
                  <c:v>519432</c:v>
                </c:pt>
                <c:pt idx="180">
                  <c:v>166542</c:v>
                </c:pt>
                <c:pt idx="181">
                  <c:v>862114</c:v>
                </c:pt>
                <c:pt idx="182">
                  <c:v>982744</c:v>
                </c:pt>
                <c:pt idx="183">
                  <c:v>873266</c:v>
                </c:pt>
                <c:pt idx="184">
                  <c:v>708016</c:v>
                </c:pt>
                <c:pt idx="185">
                  <c:v>584997</c:v>
                </c:pt>
                <c:pt idx="186">
                  <c:v>120601</c:v>
                </c:pt>
                <c:pt idx="187">
                  <c:v>854371</c:v>
                </c:pt>
                <c:pt idx="188">
                  <c:v>420641</c:v>
                </c:pt>
                <c:pt idx="189">
                  <c:v>240980</c:v>
                </c:pt>
                <c:pt idx="190">
                  <c:v>371648</c:v>
                </c:pt>
                <c:pt idx="191">
                  <c:v>767006</c:v>
                </c:pt>
                <c:pt idx="192">
                  <c:v>783532</c:v>
                </c:pt>
                <c:pt idx="193">
                  <c:v>465151</c:v>
                </c:pt>
                <c:pt idx="194">
                  <c:v>940441</c:v>
                </c:pt>
                <c:pt idx="195">
                  <c:v>932421</c:v>
                </c:pt>
                <c:pt idx="196">
                  <c:v>794089</c:v>
                </c:pt>
                <c:pt idx="197">
                  <c:v>768586</c:v>
                </c:pt>
                <c:pt idx="198">
                  <c:v>427160</c:v>
                </c:pt>
                <c:pt idx="199">
                  <c:v>412630</c:v>
                </c:pt>
                <c:pt idx="200">
                  <c:v>403874</c:v>
                </c:pt>
                <c:pt idx="201">
                  <c:v>583781</c:v>
                </c:pt>
                <c:pt idx="202">
                  <c:v>644924</c:v>
                </c:pt>
                <c:pt idx="203">
                  <c:v>546318</c:v>
                </c:pt>
                <c:pt idx="204">
                  <c:v>53049</c:v>
                </c:pt>
                <c:pt idx="205">
                  <c:v>773970</c:v>
                </c:pt>
                <c:pt idx="206">
                  <c:v>767962</c:v>
                </c:pt>
                <c:pt idx="207">
                  <c:v>823688</c:v>
                </c:pt>
                <c:pt idx="208">
                  <c:v>922555</c:v>
                </c:pt>
                <c:pt idx="209">
                  <c:v>545174</c:v>
                </c:pt>
                <c:pt idx="210">
                  <c:v>566455</c:v>
                </c:pt>
                <c:pt idx="211">
                  <c:v>527185</c:v>
                </c:pt>
                <c:pt idx="212">
                  <c:v>561401</c:v>
                </c:pt>
                <c:pt idx="213">
                  <c:v>569995</c:v>
                </c:pt>
                <c:pt idx="214">
                  <c:v>814178</c:v>
                </c:pt>
                <c:pt idx="215">
                  <c:v>742643</c:v>
                </c:pt>
                <c:pt idx="216">
                  <c:v>452454</c:v>
                </c:pt>
                <c:pt idx="217">
                  <c:v>995317</c:v>
                </c:pt>
                <c:pt idx="218">
                  <c:v>493884</c:v>
                </c:pt>
                <c:pt idx="219">
                  <c:v>272944</c:v>
                </c:pt>
                <c:pt idx="220">
                  <c:v>502376</c:v>
                </c:pt>
                <c:pt idx="221">
                  <c:v>534649</c:v>
                </c:pt>
                <c:pt idx="222">
                  <c:v>186485</c:v>
                </c:pt>
                <c:pt idx="223">
                  <c:v>910595</c:v>
                </c:pt>
                <c:pt idx="224">
                  <c:v>593436</c:v>
                </c:pt>
                <c:pt idx="225">
                  <c:v>680716</c:v>
                </c:pt>
                <c:pt idx="226">
                  <c:v>81683</c:v>
                </c:pt>
                <c:pt idx="227">
                  <c:v>680614</c:v>
                </c:pt>
                <c:pt idx="228">
                  <c:v>214112</c:v>
                </c:pt>
                <c:pt idx="229">
                  <c:v>143547</c:v>
                </c:pt>
                <c:pt idx="230">
                  <c:v>952940</c:v>
                </c:pt>
                <c:pt idx="231">
                  <c:v>151581</c:v>
                </c:pt>
                <c:pt idx="232">
                  <c:v>643062</c:v>
                </c:pt>
                <c:pt idx="233">
                  <c:v>617862</c:v>
                </c:pt>
                <c:pt idx="234">
                  <c:v>500005</c:v>
                </c:pt>
                <c:pt idx="235">
                  <c:v>534378</c:v>
                </c:pt>
                <c:pt idx="236">
                  <c:v>495458</c:v>
                </c:pt>
                <c:pt idx="237">
                  <c:v>613923</c:v>
                </c:pt>
                <c:pt idx="238">
                  <c:v>653844</c:v>
                </c:pt>
                <c:pt idx="239">
                  <c:v>238211</c:v>
                </c:pt>
                <c:pt idx="240">
                  <c:v>997204</c:v>
                </c:pt>
                <c:pt idx="241">
                  <c:v>813584</c:v>
                </c:pt>
                <c:pt idx="242">
                  <c:v>647328</c:v>
                </c:pt>
                <c:pt idx="243">
                  <c:v>692583</c:v>
                </c:pt>
                <c:pt idx="244">
                  <c:v>355282</c:v>
                </c:pt>
                <c:pt idx="245">
                  <c:v>51491</c:v>
                </c:pt>
                <c:pt idx="246">
                  <c:v>800389</c:v>
                </c:pt>
                <c:pt idx="247">
                  <c:v>676017</c:v>
                </c:pt>
                <c:pt idx="248">
                  <c:v>112536</c:v>
                </c:pt>
                <c:pt idx="249">
                  <c:v>769305</c:v>
                </c:pt>
                <c:pt idx="250">
                  <c:v>951373</c:v>
                </c:pt>
                <c:pt idx="251">
                  <c:v>257036</c:v>
                </c:pt>
                <c:pt idx="252">
                  <c:v>592179</c:v>
                </c:pt>
                <c:pt idx="253">
                  <c:v>887759</c:v>
                </c:pt>
                <c:pt idx="254">
                  <c:v>940768</c:v>
                </c:pt>
                <c:pt idx="255">
                  <c:v>250719</c:v>
                </c:pt>
                <c:pt idx="256">
                  <c:v>75148</c:v>
                </c:pt>
                <c:pt idx="257">
                  <c:v>705751</c:v>
                </c:pt>
                <c:pt idx="258">
                  <c:v>789035</c:v>
                </c:pt>
                <c:pt idx="259">
                  <c:v>65498</c:v>
                </c:pt>
                <c:pt idx="260">
                  <c:v>544559</c:v>
                </c:pt>
                <c:pt idx="261">
                  <c:v>302075</c:v>
                </c:pt>
                <c:pt idx="262">
                  <c:v>728150</c:v>
                </c:pt>
                <c:pt idx="263">
                  <c:v>856849</c:v>
                </c:pt>
                <c:pt idx="264">
                  <c:v>487349</c:v>
                </c:pt>
                <c:pt idx="265">
                  <c:v>925098</c:v>
                </c:pt>
                <c:pt idx="266">
                  <c:v>257124</c:v>
                </c:pt>
                <c:pt idx="267">
                  <c:v>333058</c:v>
                </c:pt>
                <c:pt idx="268">
                  <c:v>413455</c:v>
                </c:pt>
                <c:pt idx="269">
                  <c:v>904333</c:v>
                </c:pt>
                <c:pt idx="270">
                  <c:v>387242</c:v>
                </c:pt>
                <c:pt idx="271">
                  <c:v>440573</c:v>
                </c:pt>
                <c:pt idx="272">
                  <c:v>522618</c:v>
                </c:pt>
                <c:pt idx="273">
                  <c:v>447497</c:v>
                </c:pt>
                <c:pt idx="274">
                  <c:v>937179</c:v>
                </c:pt>
                <c:pt idx="275">
                  <c:v>790957</c:v>
                </c:pt>
                <c:pt idx="276">
                  <c:v>747847</c:v>
                </c:pt>
                <c:pt idx="277">
                  <c:v>319001</c:v>
                </c:pt>
                <c:pt idx="278">
                  <c:v>630352</c:v>
                </c:pt>
                <c:pt idx="279">
                  <c:v>373547</c:v>
                </c:pt>
                <c:pt idx="280">
                  <c:v>52687</c:v>
                </c:pt>
                <c:pt idx="281">
                  <c:v>795489</c:v>
                </c:pt>
                <c:pt idx="282">
                  <c:v>636256</c:v>
                </c:pt>
                <c:pt idx="283">
                  <c:v>991991</c:v>
                </c:pt>
                <c:pt idx="284">
                  <c:v>633158</c:v>
                </c:pt>
                <c:pt idx="285">
                  <c:v>386794</c:v>
                </c:pt>
                <c:pt idx="286">
                  <c:v>844599</c:v>
                </c:pt>
                <c:pt idx="287">
                  <c:v>313595</c:v>
                </c:pt>
                <c:pt idx="288">
                  <c:v>245950</c:v>
                </c:pt>
                <c:pt idx="289">
                  <c:v>793989</c:v>
                </c:pt>
                <c:pt idx="290">
                  <c:v>206404</c:v>
                </c:pt>
                <c:pt idx="291">
                  <c:v>701638</c:v>
                </c:pt>
                <c:pt idx="292">
                  <c:v>184607</c:v>
                </c:pt>
                <c:pt idx="293">
                  <c:v>286320</c:v>
                </c:pt>
                <c:pt idx="294">
                  <c:v>526044</c:v>
                </c:pt>
                <c:pt idx="295">
                  <c:v>511031</c:v>
                </c:pt>
                <c:pt idx="296">
                  <c:v>966079</c:v>
                </c:pt>
                <c:pt idx="297">
                  <c:v>499228</c:v>
                </c:pt>
                <c:pt idx="298">
                  <c:v>353034</c:v>
                </c:pt>
                <c:pt idx="299">
                  <c:v>544285</c:v>
                </c:pt>
                <c:pt idx="300">
                  <c:v>740482</c:v>
                </c:pt>
                <c:pt idx="301">
                  <c:v>830865</c:v>
                </c:pt>
                <c:pt idx="302">
                  <c:v>374984</c:v>
                </c:pt>
                <c:pt idx="303">
                  <c:v>497304</c:v>
                </c:pt>
                <c:pt idx="304">
                  <c:v>954735</c:v>
                </c:pt>
                <c:pt idx="305">
                  <c:v>495473</c:v>
                </c:pt>
                <c:pt idx="306">
                  <c:v>816202</c:v>
                </c:pt>
                <c:pt idx="307">
                  <c:v>202465</c:v>
                </c:pt>
                <c:pt idx="308">
                  <c:v>607975</c:v>
                </c:pt>
                <c:pt idx="309">
                  <c:v>289606</c:v>
                </c:pt>
                <c:pt idx="310">
                  <c:v>512970</c:v>
                </c:pt>
                <c:pt idx="311">
                  <c:v>261556</c:v>
                </c:pt>
                <c:pt idx="312">
                  <c:v>888619</c:v>
                </c:pt>
                <c:pt idx="313">
                  <c:v>96622</c:v>
                </c:pt>
                <c:pt idx="314">
                  <c:v>922717</c:v>
                </c:pt>
                <c:pt idx="315">
                  <c:v>505242</c:v>
                </c:pt>
                <c:pt idx="316">
                  <c:v>916626</c:v>
                </c:pt>
                <c:pt idx="317">
                  <c:v>871495</c:v>
                </c:pt>
                <c:pt idx="318">
                  <c:v>780361</c:v>
                </c:pt>
                <c:pt idx="319">
                  <c:v>963921</c:v>
                </c:pt>
                <c:pt idx="320">
                  <c:v>673556</c:v>
                </c:pt>
                <c:pt idx="321">
                  <c:v>511009</c:v>
                </c:pt>
                <c:pt idx="322">
                  <c:v>966984</c:v>
                </c:pt>
                <c:pt idx="323">
                  <c:v>766617</c:v>
                </c:pt>
                <c:pt idx="324">
                  <c:v>306453</c:v>
                </c:pt>
                <c:pt idx="325">
                  <c:v>909057</c:v>
                </c:pt>
                <c:pt idx="326">
                  <c:v>400054</c:v>
                </c:pt>
                <c:pt idx="327">
                  <c:v>472367</c:v>
                </c:pt>
                <c:pt idx="328">
                  <c:v>843878</c:v>
                </c:pt>
                <c:pt idx="329">
                  <c:v>879992</c:v>
                </c:pt>
                <c:pt idx="330">
                  <c:v>761144</c:v>
                </c:pt>
                <c:pt idx="331">
                  <c:v>237595</c:v>
                </c:pt>
                <c:pt idx="332">
                  <c:v>876954</c:v>
                </c:pt>
                <c:pt idx="333">
                  <c:v>556828</c:v>
                </c:pt>
                <c:pt idx="334">
                  <c:v>396712</c:v>
                </c:pt>
                <c:pt idx="335">
                  <c:v>550558</c:v>
                </c:pt>
                <c:pt idx="336">
                  <c:v>557972</c:v>
                </c:pt>
                <c:pt idx="337">
                  <c:v>282867</c:v>
                </c:pt>
                <c:pt idx="338">
                  <c:v>321750</c:v>
                </c:pt>
                <c:pt idx="339">
                  <c:v>332621</c:v>
                </c:pt>
                <c:pt idx="340">
                  <c:v>703134</c:v>
                </c:pt>
                <c:pt idx="341">
                  <c:v>172987</c:v>
                </c:pt>
                <c:pt idx="342">
                  <c:v>738105</c:v>
                </c:pt>
                <c:pt idx="343">
                  <c:v>257975</c:v>
                </c:pt>
                <c:pt idx="344">
                  <c:v>740356</c:v>
                </c:pt>
                <c:pt idx="345">
                  <c:v>482311</c:v>
                </c:pt>
                <c:pt idx="346">
                  <c:v>299982</c:v>
                </c:pt>
                <c:pt idx="347">
                  <c:v>971932</c:v>
                </c:pt>
                <c:pt idx="348">
                  <c:v>611905</c:v>
                </c:pt>
                <c:pt idx="349">
                  <c:v>584304</c:v>
                </c:pt>
                <c:pt idx="350">
                  <c:v>216856</c:v>
                </c:pt>
                <c:pt idx="351">
                  <c:v>625321</c:v>
                </c:pt>
                <c:pt idx="352">
                  <c:v>338110</c:v>
                </c:pt>
                <c:pt idx="353">
                  <c:v>422792</c:v>
                </c:pt>
                <c:pt idx="354">
                  <c:v>719817</c:v>
                </c:pt>
                <c:pt idx="355">
                  <c:v>337764</c:v>
                </c:pt>
                <c:pt idx="356">
                  <c:v>660235</c:v>
                </c:pt>
                <c:pt idx="357">
                  <c:v>106496</c:v>
                </c:pt>
                <c:pt idx="358">
                  <c:v>140269</c:v>
                </c:pt>
                <c:pt idx="359">
                  <c:v>602869</c:v>
                </c:pt>
                <c:pt idx="360">
                  <c:v>364587</c:v>
                </c:pt>
                <c:pt idx="361">
                  <c:v>701238</c:v>
                </c:pt>
                <c:pt idx="362">
                  <c:v>981579</c:v>
                </c:pt>
                <c:pt idx="363">
                  <c:v>711756</c:v>
                </c:pt>
                <c:pt idx="364">
                  <c:v>361271</c:v>
                </c:pt>
                <c:pt idx="365">
                  <c:v>700069</c:v>
                </c:pt>
                <c:pt idx="366">
                  <c:v>817473</c:v>
                </c:pt>
                <c:pt idx="367">
                  <c:v>516775</c:v>
                </c:pt>
                <c:pt idx="368">
                  <c:v>982865</c:v>
                </c:pt>
                <c:pt idx="369">
                  <c:v>312919</c:v>
                </c:pt>
                <c:pt idx="370">
                  <c:v>802253</c:v>
                </c:pt>
                <c:pt idx="371">
                  <c:v>986166</c:v>
                </c:pt>
                <c:pt idx="372">
                  <c:v>411354</c:v>
                </c:pt>
                <c:pt idx="373">
                  <c:v>493606</c:v>
                </c:pt>
                <c:pt idx="374">
                  <c:v>131481</c:v>
                </c:pt>
                <c:pt idx="375">
                  <c:v>644393</c:v>
                </c:pt>
                <c:pt idx="376">
                  <c:v>817721</c:v>
                </c:pt>
                <c:pt idx="377">
                  <c:v>444963</c:v>
                </c:pt>
                <c:pt idx="378">
                  <c:v>149934</c:v>
                </c:pt>
                <c:pt idx="379">
                  <c:v>620162</c:v>
                </c:pt>
                <c:pt idx="380">
                  <c:v>569209</c:v>
                </c:pt>
                <c:pt idx="381">
                  <c:v>71379</c:v>
                </c:pt>
                <c:pt idx="382">
                  <c:v>448429</c:v>
                </c:pt>
                <c:pt idx="383">
                  <c:v>909933</c:v>
                </c:pt>
                <c:pt idx="384">
                  <c:v>570046</c:v>
                </c:pt>
                <c:pt idx="385">
                  <c:v>601027</c:v>
                </c:pt>
                <c:pt idx="386">
                  <c:v>331368</c:v>
                </c:pt>
                <c:pt idx="387">
                  <c:v>929683</c:v>
                </c:pt>
                <c:pt idx="388">
                  <c:v>127560</c:v>
                </c:pt>
                <c:pt idx="389">
                  <c:v>663113</c:v>
                </c:pt>
                <c:pt idx="390">
                  <c:v>592646</c:v>
                </c:pt>
                <c:pt idx="391">
                  <c:v>764028</c:v>
                </c:pt>
                <c:pt idx="392">
                  <c:v>148745</c:v>
                </c:pt>
                <c:pt idx="393">
                  <c:v>519818</c:v>
                </c:pt>
                <c:pt idx="394">
                  <c:v>171357</c:v>
                </c:pt>
                <c:pt idx="395">
                  <c:v>927880</c:v>
                </c:pt>
                <c:pt idx="396">
                  <c:v>764998</c:v>
                </c:pt>
                <c:pt idx="397">
                  <c:v>739518</c:v>
                </c:pt>
                <c:pt idx="398">
                  <c:v>730911</c:v>
                </c:pt>
                <c:pt idx="399">
                  <c:v>545724</c:v>
                </c:pt>
              </c:numCache>
            </c:numRef>
          </c:xVal>
          <c:yVal>
            <c:numRef>
              <c:f>'Main Sheet'!$J$2:$J$402</c:f>
              <c:numCache>
                <c:formatCode>General</c:formatCode>
                <c:ptCount val="401"/>
                <c:pt idx="0">
                  <c:v>15.974663279156401</c:v>
                </c:pt>
                <c:pt idx="1">
                  <c:v>15.095002359966189</c:v>
                </c:pt>
                <c:pt idx="2">
                  <c:v>21.22414873616043</c:v>
                </c:pt>
                <c:pt idx="3">
                  <c:v>28.342044850261349</c:v>
                </c:pt>
                <c:pt idx="4">
                  <c:v>5.5664498329794574</c:v>
                </c:pt>
                <c:pt idx="5">
                  <c:v>35.145906331077647</c:v>
                </c:pt>
                <c:pt idx="6">
                  <c:v>33.552430760464787</c:v>
                </c:pt>
                <c:pt idx="7">
                  <c:v>7.21882049629391</c:v>
                </c:pt>
                <c:pt idx="8">
                  <c:v>31.163244578097309</c:v>
                </c:pt>
                <c:pt idx="9">
                  <c:v>28.19683095474619</c:v>
                </c:pt>
                <c:pt idx="10">
                  <c:v>32.952807859072912</c:v>
                </c:pt>
                <c:pt idx="11">
                  <c:v>25.22954735579588</c:v>
                </c:pt>
                <c:pt idx="12">
                  <c:v>35.038198535216743</c:v>
                </c:pt>
                <c:pt idx="13">
                  <c:v>8.6496424007353774</c:v>
                </c:pt>
                <c:pt idx="14">
                  <c:v>24.851513996907009</c:v>
                </c:pt>
                <c:pt idx="15">
                  <c:v>27.922083591628621</c:v>
                </c:pt>
                <c:pt idx="16">
                  <c:v>18.72704704019176</c:v>
                </c:pt>
                <c:pt idx="17">
                  <c:v>12.529151015612481</c:v>
                </c:pt>
                <c:pt idx="18">
                  <c:v>9.8522167487684733</c:v>
                </c:pt>
                <c:pt idx="19">
                  <c:v>26.366896329425039</c:v>
                </c:pt>
                <c:pt idx="20">
                  <c:v>18.000768666363861</c:v>
                </c:pt>
                <c:pt idx="21">
                  <c:v>37.109584630245791</c:v>
                </c:pt>
                <c:pt idx="22">
                  <c:v>29.503646319614429</c:v>
                </c:pt>
                <c:pt idx="23">
                  <c:v>31.52799888880579</c:v>
                </c:pt>
                <c:pt idx="24">
                  <c:v>18.438571716764169</c:v>
                </c:pt>
                <c:pt idx="25">
                  <c:v>13.1772217115033</c:v>
                </c:pt>
                <c:pt idx="26">
                  <c:v>28.246619836812961</c:v>
                </c:pt>
                <c:pt idx="27">
                  <c:v>29.966615279380079</c:v>
                </c:pt>
                <c:pt idx="28">
                  <c:v>4.3065909982677928</c:v>
                </c:pt>
                <c:pt idx="29">
                  <c:v>26.232416677227221</c:v>
                </c:pt>
                <c:pt idx="30">
                  <c:v>30.648517541650651</c:v>
                </c:pt>
                <c:pt idx="31">
                  <c:v>11.057159242974571</c:v>
                </c:pt>
                <c:pt idx="32">
                  <c:v>14.77329974811083</c:v>
                </c:pt>
                <c:pt idx="33">
                  <c:v>7.298707666444856</c:v>
                </c:pt>
                <c:pt idx="34">
                  <c:v>12.191317910059791</c:v>
                </c:pt>
                <c:pt idx="35">
                  <c:v>31.550581745553689</c:v>
                </c:pt>
                <c:pt idx="36">
                  <c:v>24.85933898981575</c:v>
                </c:pt>
                <c:pt idx="37">
                  <c:v>32.664707392929493</c:v>
                </c:pt>
                <c:pt idx="38">
                  <c:v>27.987105200418771</c:v>
                </c:pt>
                <c:pt idx="39">
                  <c:v>10.705555228870731</c:v>
                </c:pt>
                <c:pt idx="40">
                  <c:v>26.93642472125822</c:v>
                </c:pt>
                <c:pt idx="41">
                  <c:v>6.8434869195256622</c:v>
                </c:pt>
                <c:pt idx="42">
                  <c:v>35.706815044136718</c:v>
                </c:pt>
                <c:pt idx="43">
                  <c:v>4.5194736142496348</c:v>
                </c:pt>
                <c:pt idx="44">
                  <c:v>28.814551968856581</c:v>
                </c:pt>
                <c:pt idx="45">
                  <c:v>12.8055726500203</c:v>
                </c:pt>
                <c:pt idx="46">
                  <c:v>23.754238620286991</c:v>
                </c:pt>
                <c:pt idx="47">
                  <c:v>5.9895905814244763</c:v>
                </c:pt>
                <c:pt idx="48">
                  <c:v>21.131799926980651</c:v>
                </c:pt>
                <c:pt idx="49">
                  <c:v>16.154795797535961</c:v>
                </c:pt>
                <c:pt idx="50">
                  <c:v>11.50666700790827</c:v>
                </c:pt>
                <c:pt idx="51">
                  <c:v>27.879591032232629</c:v>
                </c:pt>
                <c:pt idx="52">
                  <c:v>12.531560777039211</c:v>
                </c:pt>
                <c:pt idx="53">
                  <c:v>19.408872318582159</c:v>
                </c:pt>
                <c:pt idx="54">
                  <c:v>13.79180935403668</c:v>
                </c:pt>
                <c:pt idx="55">
                  <c:v>24.114625574479589</c:v>
                </c:pt>
                <c:pt idx="56">
                  <c:v>6.0552828726427279</c:v>
                </c:pt>
                <c:pt idx="57">
                  <c:v>23.57861775889063</c:v>
                </c:pt>
                <c:pt idx="58">
                  <c:v>34.210789210789208</c:v>
                </c:pt>
                <c:pt idx="59">
                  <c:v>35.81786020696741</c:v>
                </c:pt>
                <c:pt idx="60">
                  <c:v>22.65212036663651</c:v>
                </c:pt>
                <c:pt idx="61">
                  <c:v>7.6394194041252863</c:v>
                </c:pt>
                <c:pt idx="62">
                  <c:v>19.304308908724732</c:v>
                </c:pt>
                <c:pt idx="63">
                  <c:v>16.879135360708698</c:v>
                </c:pt>
                <c:pt idx="64">
                  <c:v>4.0903977911851932</c:v>
                </c:pt>
                <c:pt idx="65">
                  <c:v>42.35345592435494</c:v>
                </c:pt>
                <c:pt idx="66">
                  <c:v>27.44899448101831</c:v>
                </c:pt>
                <c:pt idx="67">
                  <c:v>14.95297178306984</c:v>
                </c:pt>
                <c:pt idx="68">
                  <c:v>16.14190477318208</c:v>
                </c:pt>
                <c:pt idx="69">
                  <c:v>38.341712329504468</c:v>
                </c:pt>
                <c:pt idx="70">
                  <c:v>18.145071571608689</c:v>
                </c:pt>
                <c:pt idx="71">
                  <c:v>14.90138787436085</c:v>
                </c:pt>
                <c:pt idx="72">
                  <c:v>20.318245637494151</c:v>
                </c:pt>
                <c:pt idx="73">
                  <c:v>11.75828460038986</c:v>
                </c:pt>
                <c:pt idx="74">
                  <c:v>14.33205846195875</c:v>
                </c:pt>
                <c:pt idx="75">
                  <c:v>22.078457764366199</c:v>
                </c:pt>
                <c:pt idx="76">
                  <c:v>15.31546450285065</c:v>
                </c:pt>
                <c:pt idx="77">
                  <c:v>22.241066020593578</c:v>
                </c:pt>
                <c:pt idx="78">
                  <c:v>17.150363685017151</c:v>
                </c:pt>
                <c:pt idx="79">
                  <c:v>6.1984236412652027</c:v>
                </c:pt>
                <c:pt idx="80">
                  <c:v>17.01028780873839</c:v>
                </c:pt>
                <c:pt idx="81">
                  <c:v>4.4950538579907668</c:v>
                </c:pt>
                <c:pt idx="82">
                  <c:v>16.759273164138762</c:v>
                </c:pt>
                <c:pt idx="83">
                  <c:v>9.704882360941113</c:v>
                </c:pt>
                <c:pt idx="84">
                  <c:v>28.552773823412931</c:v>
                </c:pt>
                <c:pt idx="85">
                  <c:v>24.9928246084732</c:v>
                </c:pt>
                <c:pt idx="86">
                  <c:v>18.477629285299241</c:v>
                </c:pt>
                <c:pt idx="87">
                  <c:v>26.84579557109949</c:v>
                </c:pt>
                <c:pt idx="88">
                  <c:v>5.9007650190545542</c:v>
                </c:pt>
                <c:pt idx="89">
                  <c:v>40.978996515116847</c:v>
                </c:pt>
                <c:pt idx="90">
                  <c:v>31.71610651695622</c:v>
                </c:pt>
                <c:pt idx="91">
                  <c:v>5.7537807183364844</c:v>
                </c:pt>
                <c:pt idx="92">
                  <c:v>23.201091281118561</c:v>
                </c:pt>
                <c:pt idx="93">
                  <c:v>29.054259342685619</c:v>
                </c:pt>
                <c:pt idx="94">
                  <c:v>31.356458741193158</c:v>
                </c:pt>
                <c:pt idx="95">
                  <c:v>38.064466497422877</c:v>
                </c:pt>
                <c:pt idx="96">
                  <c:v>24.19501965923984</c:v>
                </c:pt>
                <c:pt idx="97">
                  <c:v>22.446533677790509</c:v>
                </c:pt>
                <c:pt idx="98">
                  <c:v>10.21050682140873</c:v>
                </c:pt>
                <c:pt idx="99">
                  <c:v>27.98537738729857</c:v>
                </c:pt>
                <c:pt idx="100">
                  <c:v>23.618109490433788</c:v>
                </c:pt>
                <c:pt idx="101">
                  <c:v>37.777247793942287</c:v>
                </c:pt>
                <c:pt idx="102">
                  <c:v>7.4422787019650372</c:v>
                </c:pt>
                <c:pt idx="103">
                  <c:v>9.8989852504659552</c:v>
                </c:pt>
                <c:pt idx="104">
                  <c:v>28.268432274716641</c:v>
                </c:pt>
                <c:pt idx="105">
                  <c:v>5.0835083418208704</c:v>
                </c:pt>
                <c:pt idx="106">
                  <c:v>13.675060288262021</c:v>
                </c:pt>
                <c:pt idx="107">
                  <c:v>11.558748341584961</c:v>
                </c:pt>
                <c:pt idx="108">
                  <c:v>24.95972809828114</c:v>
                </c:pt>
                <c:pt idx="109">
                  <c:v>18.809444943926561</c:v>
                </c:pt>
                <c:pt idx="110">
                  <c:v>14.28199415526171</c:v>
                </c:pt>
                <c:pt idx="111">
                  <c:v>16.01360992207222</c:v>
                </c:pt>
                <c:pt idx="112">
                  <c:v>10.138488249688979</c:v>
                </c:pt>
                <c:pt idx="113">
                  <c:v>15.833167067151299</c:v>
                </c:pt>
                <c:pt idx="114">
                  <c:v>15.81302466624755</c:v>
                </c:pt>
                <c:pt idx="115">
                  <c:v>15.41733120680489</c:v>
                </c:pt>
                <c:pt idx="116">
                  <c:v>18.220004548312438</c:v>
                </c:pt>
                <c:pt idx="117">
                  <c:v>15.909691048323211</c:v>
                </c:pt>
                <c:pt idx="118">
                  <c:v>18.463191110812719</c:v>
                </c:pt>
                <c:pt idx="119">
                  <c:v>15.43060011956031</c:v>
                </c:pt>
                <c:pt idx="120">
                  <c:v>8.0223185014720428</c:v>
                </c:pt>
                <c:pt idx="121">
                  <c:v>30.04821340929432</c:v>
                </c:pt>
                <c:pt idx="122">
                  <c:v>12.647923012642529</c:v>
                </c:pt>
                <c:pt idx="123">
                  <c:v>17.817839631518989</c:v>
                </c:pt>
                <c:pt idx="124">
                  <c:v>26.369601709140849</c:v>
                </c:pt>
                <c:pt idx="125">
                  <c:v>15.774430632429</c:v>
                </c:pt>
                <c:pt idx="126">
                  <c:v>17.439304881165349</c:v>
                </c:pt>
                <c:pt idx="127">
                  <c:v>32.187163654902847</c:v>
                </c:pt>
                <c:pt idx="128">
                  <c:v>25.02397821849571</c:v>
                </c:pt>
                <c:pt idx="129">
                  <c:v>10.574689425310581</c:v>
                </c:pt>
                <c:pt idx="130">
                  <c:v>8.9377439901376636</c:v>
                </c:pt>
                <c:pt idx="131">
                  <c:v>18.143385590981151</c:v>
                </c:pt>
                <c:pt idx="132">
                  <c:v>14.66196979201853</c:v>
                </c:pt>
                <c:pt idx="133">
                  <c:v>24.347724004343611</c:v>
                </c:pt>
                <c:pt idx="134">
                  <c:v>32.247451115598679</c:v>
                </c:pt>
                <c:pt idx="135">
                  <c:v>11.4291576895455</c:v>
                </c:pt>
                <c:pt idx="136">
                  <c:v>27.6659090718485</c:v>
                </c:pt>
                <c:pt idx="137">
                  <c:v>15.698787492022969</c:v>
                </c:pt>
                <c:pt idx="138">
                  <c:v>5.4732936875988871</c:v>
                </c:pt>
                <c:pt idx="139">
                  <c:v>16.231534849335318</c:v>
                </c:pt>
                <c:pt idx="140">
                  <c:v>23.332978383558729</c:v>
                </c:pt>
                <c:pt idx="141">
                  <c:v>27.648052978305099</c:v>
                </c:pt>
                <c:pt idx="142">
                  <c:v>22.150590957930412</c:v>
                </c:pt>
                <c:pt idx="143">
                  <c:v>6.8877330282373972</c:v>
                </c:pt>
                <c:pt idx="144">
                  <c:v>26.888167280811551</c:v>
                </c:pt>
                <c:pt idx="145">
                  <c:v>38.845090347887599</c:v>
                </c:pt>
                <c:pt idx="146">
                  <c:v>25.822733696749449</c:v>
                </c:pt>
                <c:pt idx="147">
                  <c:v>12.238675569898991</c:v>
                </c:pt>
                <c:pt idx="148">
                  <c:v>31.389055923030671</c:v>
                </c:pt>
                <c:pt idx="149">
                  <c:v>14.265451688282541</c:v>
                </c:pt>
                <c:pt idx="150">
                  <c:v>18.380521909093471</c:v>
                </c:pt>
                <c:pt idx="151">
                  <c:v>18.470682790975872</c:v>
                </c:pt>
                <c:pt idx="152">
                  <c:v>15.99858419608884</c:v>
                </c:pt>
                <c:pt idx="153">
                  <c:v>27.166094816875081</c:v>
                </c:pt>
                <c:pt idx="154">
                  <c:v>35.254656004088972</c:v>
                </c:pt>
                <c:pt idx="155">
                  <c:v>30.398143008528031</c:v>
                </c:pt>
                <c:pt idx="156">
                  <c:v>29.955666124453799</c:v>
                </c:pt>
                <c:pt idx="157">
                  <c:v>6.531908583892168</c:v>
                </c:pt>
                <c:pt idx="158">
                  <c:v>3.486821864424162</c:v>
                </c:pt>
                <c:pt idx="159">
                  <c:v>11.793320282375269</c:v>
                </c:pt>
                <c:pt idx="160">
                  <c:v>21.896902945136901</c:v>
                </c:pt>
                <c:pt idx="161">
                  <c:v>27.155185344439669</c:v>
                </c:pt>
                <c:pt idx="162">
                  <c:v>28.008741614149219</c:v>
                </c:pt>
                <c:pt idx="163">
                  <c:v>32.940788025533791</c:v>
                </c:pt>
                <c:pt idx="164">
                  <c:v>17.876159138498359</c:v>
                </c:pt>
                <c:pt idx="165">
                  <c:v>32.109155827595004</c:v>
                </c:pt>
                <c:pt idx="166">
                  <c:v>7.2978441359101378</c:v>
                </c:pt>
                <c:pt idx="167">
                  <c:v>16.068627764796261</c:v>
                </c:pt>
                <c:pt idx="168">
                  <c:v>20.575175085680229</c:v>
                </c:pt>
                <c:pt idx="169">
                  <c:v>17.74735293176802</c:v>
                </c:pt>
                <c:pt idx="170">
                  <c:v>5.2818532818532811</c:v>
                </c:pt>
                <c:pt idx="171">
                  <c:v>23.58051963656866</c:v>
                </c:pt>
                <c:pt idx="172">
                  <c:v>42.124058691095406</c:v>
                </c:pt>
                <c:pt idx="173">
                  <c:v>40.484911715675707</c:v>
                </c:pt>
                <c:pt idx="174">
                  <c:v>34.226140525811772</c:v>
                </c:pt>
                <c:pt idx="175">
                  <c:v>32.480860074930767</c:v>
                </c:pt>
                <c:pt idx="176">
                  <c:v>22.039576755284539</c:v>
                </c:pt>
                <c:pt idx="177">
                  <c:v>21.992551989622999</c:v>
                </c:pt>
                <c:pt idx="178">
                  <c:v>15.31079476871203</c:v>
                </c:pt>
                <c:pt idx="179">
                  <c:v>15.34891682674934</c:v>
                </c:pt>
                <c:pt idx="180">
                  <c:v>8.1459530594662155</c:v>
                </c:pt>
                <c:pt idx="181">
                  <c:v>7.0122435999363963</c:v>
                </c:pt>
                <c:pt idx="182">
                  <c:v>5.5691738283710066</c:v>
                </c:pt>
                <c:pt idx="183">
                  <c:v>4.4120766456904477</c:v>
                </c:pt>
                <c:pt idx="184">
                  <c:v>8.4595751687798462</c:v>
                </c:pt>
                <c:pt idx="185">
                  <c:v>3.72216807856661</c:v>
                </c:pt>
                <c:pt idx="186">
                  <c:v>13.127496491417469</c:v>
                </c:pt>
                <c:pt idx="187">
                  <c:v>14.43189990555493</c:v>
                </c:pt>
                <c:pt idx="188">
                  <c:v>6.0670785286523454</c:v>
                </c:pt>
                <c:pt idx="189">
                  <c:v>30.862398804018699</c:v>
                </c:pt>
                <c:pt idx="190">
                  <c:v>28.240903672588971</c:v>
                </c:pt>
                <c:pt idx="191">
                  <c:v>30.166947821534521</c:v>
                </c:pt>
                <c:pt idx="192">
                  <c:v>35.663441036575357</c:v>
                </c:pt>
                <c:pt idx="193">
                  <c:v>20.92780765063074</c:v>
                </c:pt>
                <c:pt idx="194">
                  <c:v>8.3527410702603699</c:v>
                </c:pt>
                <c:pt idx="195">
                  <c:v>26.882109992029559</c:v>
                </c:pt>
                <c:pt idx="196">
                  <c:v>6.3571504632094564</c:v>
                </c:pt>
                <c:pt idx="197">
                  <c:v>7.2004028197381684</c:v>
                </c:pt>
                <c:pt idx="198">
                  <c:v>33.627673872357533</c:v>
                </c:pt>
                <c:pt idx="199">
                  <c:v>24.685942873184079</c:v>
                </c:pt>
                <c:pt idx="200">
                  <c:v>6.0037130978218238</c:v>
                </c:pt>
                <c:pt idx="201">
                  <c:v>8.8276591847947739</c:v>
                </c:pt>
                <c:pt idx="202">
                  <c:v>29.431939360751649</c:v>
                </c:pt>
                <c:pt idx="203">
                  <c:v>9.0773544901169547</c:v>
                </c:pt>
                <c:pt idx="204">
                  <c:v>34.653730703259008</c:v>
                </c:pt>
                <c:pt idx="205">
                  <c:v>19.6480213294344</c:v>
                </c:pt>
                <c:pt idx="206">
                  <c:v>18.395939086294419</c:v>
                </c:pt>
                <c:pt idx="207">
                  <c:v>9.0081539324388462</c:v>
                </c:pt>
                <c:pt idx="208">
                  <c:v>16.97497279651795</c:v>
                </c:pt>
                <c:pt idx="209">
                  <c:v>31.413612565445021</c:v>
                </c:pt>
                <c:pt idx="210">
                  <c:v>33.761212005958598</c:v>
                </c:pt>
                <c:pt idx="211">
                  <c:v>31.087312475107311</c:v>
                </c:pt>
                <c:pt idx="212">
                  <c:v>9.3087685274968841</c:v>
                </c:pt>
                <c:pt idx="213">
                  <c:v>36.629034664544683</c:v>
                </c:pt>
                <c:pt idx="214">
                  <c:v>16.512263360149799</c:v>
                </c:pt>
                <c:pt idx="215">
                  <c:v>5.8115355149392576</c:v>
                </c:pt>
                <c:pt idx="216">
                  <c:v>26.160409556314001</c:v>
                </c:pt>
                <c:pt idx="217">
                  <c:v>10.68545299407093</c:v>
                </c:pt>
                <c:pt idx="218">
                  <c:v>23.093379589476729</c:v>
                </c:pt>
                <c:pt idx="219">
                  <c:v>32.612619532240103</c:v>
                </c:pt>
                <c:pt idx="220">
                  <c:v>23.98111377486595</c:v>
                </c:pt>
                <c:pt idx="221">
                  <c:v>28.585839815232681</c:v>
                </c:pt>
                <c:pt idx="222">
                  <c:v>11.681362574421581</c:v>
                </c:pt>
                <c:pt idx="223">
                  <c:v>25.957721149604691</c:v>
                </c:pt>
                <c:pt idx="224">
                  <c:v>5.3153976753297636</c:v>
                </c:pt>
                <c:pt idx="225">
                  <c:v>20.045141968857308</c:v>
                </c:pt>
                <c:pt idx="226">
                  <c:v>13.317180577785249</c:v>
                </c:pt>
                <c:pt idx="227">
                  <c:v>17.669865886989129</c:v>
                </c:pt>
                <c:pt idx="228">
                  <c:v>10.500768702681279</c:v>
                </c:pt>
                <c:pt idx="229">
                  <c:v>29.469260641990129</c:v>
                </c:pt>
                <c:pt idx="230">
                  <c:v>8.7580570137550655</c:v>
                </c:pt>
                <c:pt idx="231">
                  <c:v>34.583482418762003</c:v>
                </c:pt>
                <c:pt idx="232">
                  <c:v>12.313150646561789</c:v>
                </c:pt>
                <c:pt idx="233">
                  <c:v>7.6995833226820727</c:v>
                </c:pt>
                <c:pt idx="234">
                  <c:v>7.1470016041503106</c:v>
                </c:pt>
                <c:pt idx="235">
                  <c:v>33.13653068555481</c:v>
                </c:pt>
                <c:pt idx="236">
                  <c:v>32.278098157035132</c:v>
                </c:pt>
                <c:pt idx="237">
                  <c:v>33.30398337618427</c:v>
                </c:pt>
                <c:pt idx="238">
                  <c:v>34.235900145291239</c:v>
                </c:pt>
                <c:pt idx="239">
                  <c:v>5.6457890093923524</c:v>
                </c:pt>
                <c:pt idx="240">
                  <c:v>27.731893265565439</c:v>
                </c:pt>
                <c:pt idx="241">
                  <c:v>14.39111102308401</c:v>
                </c:pt>
                <c:pt idx="242">
                  <c:v>8.5617422283514344</c:v>
                </c:pt>
                <c:pt idx="243">
                  <c:v>17.830010493179429</c:v>
                </c:pt>
                <c:pt idx="244">
                  <c:v>14.50499247235537</c:v>
                </c:pt>
                <c:pt idx="245">
                  <c:v>6.4794461824715652</c:v>
                </c:pt>
                <c:pt idx="246">
                  <c:v>25.221476510067109</c:v>
                </c:pt>
                <c:pt idx="247">
                  <c:v>18.474608167325322</c:v>
                </c:pt>
                <c:pt idx="248">
                  <c:v>5.2372488623779789</c:v>
                </c:pt>
                <c:pt idx="249">
                  <c:v>8.1428827429663695</c:v>
                </c:pt>
                <c:pt idx="250">
                  <c:v>18.54914955527202</c:v>
                </c:pt>
                <c:pt idx="251">
                  <c:v>30.54221126479705</c:v>
                </c:pt>
                <c:pt idx="252">
                  <c:v>15.750006719286141</c:v>
                </c:pt>
                <c:pt idx="253">
                  <c:v>22.116188882974679</c:v>
                </c:pt>
                <c:pt idx="254">
                  <c:v>30.840097744572091</c:v>
                </c:pt>
                <c:pt idx="255">
                  <c:v>42.01528103487405</c:v>
                </c:pt>
                <c:pt idx="256">
                  <c:v>10.89866868493865</c:v>
                </c:pt>
                <c:pt idx="257">
                  <c:v>18.090182352045979</c:v>
                </c:pt>
                <c:pt idx="258">
                  <c:v>18.035033209108281</c:v>
                </c:pt>
                <c:pt idx="259">
                  <c:v>3.8013789315732178</c:v>
                </c:pt>
                <c:pt idx="260">
                  <c:v>7.8319614254271572</c:v>
                </c:pt>
                <c:pt idx="261">
                  <c:v>33.017008093844517</c:v>
                </c:pt>
                <c:pt idx="262">
                  <c:v>11.1305195596539</c:v>
                </c:pt>
                <c:pt idx="263">
                  <c:v>33.029048929724162</c:v>
                </c:pt>
                <c:pt idx="264">
                  <c:v>17.388501671971319</c:v>
                </c:pt>
                <c:pt idx="265">
                  <c:v>30.68929684793903</c:v>
                </c:pt>
                <c:pt idx="266">
                  <c:v>32.625352424125161</c:v>
                </c:pt>
                <c:pt idx="267">
                  <c:v>35.877604292550878</c:v>
                </c:pt>
                <c:pt idx="268">
                  <c:v>24.813790578236869</c:v>
                </c:pt>
                <c:pt idx="269">
                  <c:v>26.658335039162239</c:v>
                </c:pt>
                <c:pt idx="270">
                  <c:v>28.521485431154819</c:v>
                </c:pt>
                <c:pt idx="271">
                  <c:v>17.458108035762091</c:v>
                </c:pt>
                <c:pt idx="272">
                  <c:v>12.41144624903326</c:v>
                </c:pt>
                <c:pt idx="273">
                  <c:v>28.667547759221431</c:v>
                </c:pt>
                <c:pt idx="274">
                  <c:v>9.1054442969025242</c:v>
                </c:pt>
                <c:pt idx="275">
                  <c:v>25.223576533959459</c:v>
                </c:pt>
                <c:pt idx="276">
                  <c:v>23.099566205329481</c:v>
                </c:pt>
                <c:pt idx="277">
                  <c:v>33.931484502446978</c:v>
                </c:pt>
                <c:pt idx="278">
                  <c:v>36.240322477445773</c:v>
                </c:pt>
                <c:pt idx="279">
                  <c:v>37.457971856709968</c:v>
                </c:pt>
                <c:pt idx="280">
                  <c:v>26.468459439897561</c:v>
                </c:pt>
                <c:pt idx="281">
                  <c:v>29.699359119092691</c:v>
                </c:pt>
                <c:pt idx="282">
                  <c:v>6.9159586557714174</c:v>
                </c:pt>
                <c:pt idx="283">
                  <c:v>9.9500599043902209</c:v>
                </c:pt>
                <c:pt idx="284">
                  <c:v>18.49472086790869</c:v>
                </c:pt>
                <c:pt idx="285">
                  <c:v>15.620420127015141</c:v>
                </c:pt>
                <c:pt idx="286">
                  <c:v>30.822510822510829</c:v>
                </c:pt>
                <c:pt idx="287">
                  <c:v>5.5291949335320183</c:v>
                </c:pt>
                <c:pt idx="288">
                  <c:v>15.25980880002413</c:v>
                </c:pt>
                <c:pt idx="289">
                  <c:v>24.176050086436479</c:v>
                </c:pt>
                <c:pt idx="290">
                  <c:v>5.8754656732304413</c:v>
                </c:pt>
                <c:pt idx="291">
                  <c:v>11.23770067322631</c:v>
                </c:pt>
                <c:pt idx="292">
                  <c:v>21.40337568746444</c:v>
                </c:pt>
                <c:pt idx="293">
                  <c:v>9.5855936468877587</c:v>
                </c:pt>
                <c:pt idx="294">
                  <c:v>6.3770601314097144</c:v>
                </c:pt>
                <c:pt idx="295">
                  <c:v>12.350014632718761</c:v>
                </c:pt>
                <c:pt idx="296">
                  <c:v>9.268266609653109</c:v>
                </c:pt>
                <c:pt idx="297">
                  <c:v>24.88397082695078</c:v>
                </c:pt>
                <c:pt idx="298">
                  <c:v>21.54377880184332</c:v>
                </c:pt>
                <c:pt idx="299">
                  <c:v>19.473141464329242</c:v>
                </c:pt>
                <c:pt idx="300">
                  <c:v>22.925040192926041</c:v>
                </c:pt>
                <c:pt idx="301">
                  <c:v>28.520686079359219</c:v>
                </c:pt>
                <c:pt idx="302">
                  <c:v>30.236479366016098</c:v>
                </c:pt>
                <c:pt idx="303">
                  <c:v>41.210557238805109</c:v>
                </c:pt>
                <c:pt idx="304">
                  <c:v>20.235380461848969</c:v>
                </c:pt>
                <c:pt idx="305">
                  <c:v>20.834193932472331</c:v>
                </c:pt>
                <c:pt idx="306">
                  <c:v>16.643253045899211</c:v>
                </c:pt>
                <c:pt idx="307">
                  <c:v>19.926376440460949</c:v>
                </c:pt>
                <c:pt idx="308">
                  <c:v>36.41160949868074</c:v>
                </c:pt>
                <c:pt idx="309">
                  <c:v>30.98950833161901</c:v>
                </c:pt>
                <c:pt idx="310">
                  <c:v>17.34490608992601</c:v>
                </c:pt>
                <c:pt idx="311">
                  <c:v>21.532836757523668</c:v>
                </c:pt>
                <c:pt idx="312">
                  <c:v>37.329071612663611</c:v>
                </c:pt>
                <c:pt idx="313">
                  <c:v>24.613059991015639</c:v>
                </c:pt>
                <c:pt idx="314">
                  <c:v>8.5368092527997064</c:v>
                </c:pt>
                <c:pt idx="315">
                  <c:v>17.819482728285731</c:v>
                </c:pt>
                <c:pt idx="316">
                  <c:v>12.085953305265461</c:v>
                </c:pt>
                <c:pt idx="317">
                  <c:v>12.1218886036388</c:v>
                </c:pt>
                <c:pt idx="318">
                  <c:v>25.44522901955883</c:v>
                </c:pt>
                <c:pt idx="319">
                  <c:v>36.892611305143937</c:v>
                </c:pt>
                <c:pt idx="320">
                  <c:v>16.139006125016159</c:v>
                </c:pt>
                <c:pt idx="321">
                  <c:v>29.079956188389922</c:v>
                </c:pt>
                <c:pt idx="322">
                  <c:v>4.9893184480738748</c:v>
                </c:pt>
                <c:pt idx="323">
                  <c:v>36.010700322381503</c:v>
                </c:pt>
                <c:pt idx="324">
                  <c:v>22.807714075738499</c:v>
                </c:pt>
                <c:pt idx="325">
                  <c:v>4.4330093005095756</c:v>
                </c:pt>
                <c:pt idx="326">
                  <c:v>6.3799175105167247</c:v>
                </c:pt>
                <c:pt idx="327">
                  <c:v>20.92564504957873</c:v>
                </c:pt>
                <c:pt idx="328">
                  <c:v>15.57273967837744</c:v>
                </c:pt>
                <c:pt idx="329">
                  <c:v>9.322900457920241</c:v>
                </c:pt>
                <c:pt idx="330">
                  <c:v>23.067831708672159</c:v>
                </c:pt>
                <c:pt idx="331">
                  <c:v>8.7988657079197896</c:v>
                </c:pt>
                <c:pt idx="332">
                  <c:v>13.569266191958381</c:v>
                </c:pt>
                <c:pt idx="333">
                  <c:v>29.47917104544117</c:v>
                </c:pt>
                <c:pt idx="334">
                  <c:v>20.642038953694819</c:v>
                </c:pt>
                <c:pt idx="335">
                  <c:v>29.054614780755859</c:v>
                </c:pt>
                <c:pt idx="336">
                  <c:v>42.692279420772792</c:v>
                </c:pt>
                <c:pt idx="337">
                  <c:v>3.7109067017082791</c:v>
                </c:pt>
                <c:pt idx="338">
                  <c:v>25.917156661453649</c:v>
                </c:pt>
                <c:pt idx="339">
                  <c:v>4.4186395484399714</c:v>
                </c:pt>
                <c:pt idx="340">
                  <c:v>27.213157800508451</c:v>
                </c:pt>
                <c:pt idx="341">
                  <c:v>13.04898203171701</c:v>
                </c:pt>
                <c:pt idx="342">
                  <c:v>6.5662650602409638</c:v>
                </c:pt>
                <c:pt idx="343">
                  <c:v>16.695711796131761</c:v>
                </c:pt>
                <c:pt idx="344">
                  <c:v>15.985747902734751</c:v>
                </c:pt>
                <c:pt idx="345">
                  <c:v>13.13478041393236</c:v>
                </c:pt>
                <c:pt idx="346">
                  <c:v>32.33293697978597</c:v>
                </c:pt>
                <c:pt idx="347">
                  <c:v>27.636898199191471</c:v>
                </c:pt>
                <c:pt idx="348">
                  <c:v>25.301972177216602</c:v>
                </c:pt>
                <c:pt idx="349">
                  <c:v>24.231930481457031</c:v>
                </c:pt>
                <c:pt idx="350">
                  <c:v>36.121923201320499</c:v>
                </c:pt>
                <c:pt idx="351">
                  <c:v>32.391099049208293</c:v>
                </c:pt>
                <c:pt idx="352">
                  <c:v>9.2755614720659594</c:v>
                </c:pt>
                <c:pt idx="353">
                  <c:v>33.582507942440657</c:v>
                </c:pt>
                <c:pt idx="354">
                  <c:v>16.45052156752185</c:v>
                </c:pt>
                <c:pt idx="355">
                  <c:v>39.342122753803579</c:v>
                </c:pt>
                <c:pt idx="356">
                  <c:v>7.4357818837314102</c:v>
                </c:pt>
                <c:pt idx="357">
                  <c:v>15.62714187799863</c:v>
                </c:pt>
                <c:pt idx="358">
                  <c:v>7.488625865044364</c:v>
                </c:pt>
                <c:pt idx="359">
                  <c:v>14.14815521022023</c:v>
                </c:pt>
                <c:pt idx="360">
                  <c:v>27.315733579343711</c:v>
                </c:pt>
                <c:pt idx="361">
                  <c:v>30.030314340594821</c:v>
                </c:pt>
                <c:pt idx="362">
                  <c:v>35.748311411304662</c:v>
                </c:pt>
                <c:pt idx="363">
                  <c:v>21.45982776190381</c:v>
                </c:pt>
                <c:pt idx="364">
                  <c:v>10.03688958690968</c:v>
                </c:pt>
                <c:pt idx="365">
                  <c:v>8.9004764901555351</c:v>
                </c:pt>
                <c:pt idx="366">
                  <c:v>30.84358263716971</c:v>
                </c:pt>
                <c:pt idx="367">
                  <c:v>33.51675960536798</c:v>
                </c:pt>
                <c:pt idx="368">
                  <c:v>11.396705461397181</c:v>
                </c:pt>
                <c:pt idx="369">
                  <c:v>13.94972031119398</c:v>
                </c:pt>
                <c:pt idx="370">
                  <c:v>16.389642546690201</c:v>
                </c:pt>
                <c:pt idx="371">
                  <c:v>27.972347597554698</c:v>
                </c:pt>
                <c:pt idx="372">
                  <c:v>11.05646184318875</c:v>
                </c:pt>
                <c:pt idx="373">
                  <c:v>18.417219614824411</c:v>
                </c:pt>
                <c:pt idx="374">
                  <c:v>8.9870848865151256</c:v>
                </c:pt>
                <c:pt idx="375">
                  <c:v>5.3819897871880542</c:v>
                </c:pt>
                <c:pt idx="376">
                  <c:v>11.48743865105204</c:v>
                </c:pt>
                <c:pt idx="377">
                  <c:v>9.4043356919347101</c:v>
                </c:pt>
                <c:pt idx="378">
                  <c:v>18.367282753415029</c:v>
                </c:pt>
                <c:pt idx="379">
                  <c:v>27.380297989295531</c:v>
                </c:pt>
                <c:pt idx="380">
                  <c:v>26.116927207714252</c:v>
                </c:pt>
                <c:pt idx="381">
                  <c:v>41.368070132115079</c:v>
                </c:pt>
                <c:pt idx="382">
                  <c:v>35.558021779843237</c:v>
                </c:pt>
                <c:pt idx="383">
                  <c:v>20.0360107153836</c:v>
                </c:pt>
                <c:pt idx="384">
                  <c:v>7.1266292000478293</c:v>
                </c:pt>
                <c:pt idx="385">
                  <c:v>26.24470550627348</c:v>
                </c:pt>
                <c:pt idx="386">
                  <c:v>32.378528283250382</c:v>
                </c:pt>
                <c:pt idx="387">
                  <c:v>16.437728354826799</c:v>
                </c:pt>
                <c:pt idx="388">
                  <c:v>8.0590587511534917</c:v>
                </c:pt>
                <c:pt idx="389">
                  <c:v>10.751935270548881</c:v>
                </c:pt>
                <c:pt idx="390">
                  <c:v>20.765394642419182</c:v>
                </c:pt>
                <c:pt idx="391">
                  <c:v>31.03836202047475</c:v>
                </c:pt>
                <c:pt idx="392">
                  <c:v>13.70293438491791</c:v>
                </c:pt>
                <c:pt idx="393">
                  <c:v>43.196772489313673</c:v>
                </c:pt>
                <c:pt idx="394">
                  <c:v>28.663258746824209</c:v>
                </c:pt>
                <c:pt idx="395">
                  <c:v>29.975385176406238</c:v>
                </c:pt>
                <c:pt idx="396">
                  <c:v>37.939629572207181</c:v>
                </c:pt>
                <c:pt idx="397">
                  <c:v>3.671927170063312</c:v>
                </c:pt>
                <c:pt idx="398">
                  <c:v>18.21631878557875</c:v>
                </c:pt>
                <c:pt idx="399">
                  <c:v>4.1370281475016366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F-415F-A88C-88D10698D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321775"/>
        <c:axId val="1864316367"/>
      </c:scatterChart>
      <c:valAx>
        <c:axId val="186432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16367"/>
        <c:crosses val="autoZero"/>
        <c:crossBetween val="midCat"/>
      </c:valAx>
      <c:valAx>
        <c:axId val="186431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2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Loan to Value</a:t>
            </a:r>
          </a:p>
        </cx:rich>
      </cx:tx>
    </cx:title>
    <cx:plotArea>
      <cx:plotAreaRegion>
        <cx:series layoutId="clusteredColumn" uniqueId="{A90C9576-3676-4BE5-A587-46C584B233AB}">
          <cx:tx>
            <cx:txData>
              <cx:f>_xlchart.2</cx:f>
              <cx:v>LTV_Ratio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8</xdr:row>
      <xdr:rowOff>114300</xdr:rowOff>
    </xdr:from>
    <xdr:to>
      <xdr:col>16</xdr:col>
      <xdr:colOff>190500</xdr:colOff>
      <xdr:row>30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1</xdr:row>
      <xdr:rowOff>7620</xdr:rowOff>
    </xdr:from>
    <xdr:to>
      <xdr:col>17</xdr:col>
      <xdr:colOff>579120</xdr:colOff>
      <xdr:row>24</xdr:row>
      <xdr:rowOff>53340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</xdr:row>
      <xdr:rowOff>121920</xdr:rowOff>
    </xdr:from>
    <xdr:to>
      <xdr:col>18</xdr:col>
      <xdr:colOff>198120</xdr:colOff>
      <xdr:row>22</xdr:row>
      <xdr:rowOff>83820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114300</xdr:rowOff>
    </xdr:from>
    <xdr:to>
      <xdr:col>17</xdr:col>
      <xdr:colOff>259080</xdr:colOff>
      <xdr:row>24</xdr:row>
      <xdr:rowOff>15240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65.025566550925" createdVersion="6" refreshedVersion="6" minRefreshableVersion="3" recordCount="400">
  <cacheSource type="worksheet">
    <worksheetSource ref="A1:M401" sheet="Main Sheet"/>
  </cacheSource>
  <cacheFields count="13">
    <cacheField name="Borrower_ID" numFmtId="0">
      <sharedItems/>
    </cacheField>
    <cacheField name="Annual_Income" numFmtId="0">
      <sharedItems containsSemiMixedTypes="0" containsString="0" containsNumber="1" containsInteger="1" minValue="72027" maxValue="119656"/>
    </cacheField>
    <cacheField name="Monthly_Debt" numFmtId="0">
      <sharedItems containsSemiMixedTypes="0" containsString="0" containsNumber="1" containsInteger="1" minValue="300" maxValue="2998"/>
    </cacheField>
    <cacheField name="Credit_Score" numFmtId="0">
      <sharedItems containsSemiMixedTypes="0" containsString="0" containsNumber="1" containsInteger="1" minValue="452" maxValue="850"/>
    </cacheField>
    <cacheField name="Loan_Amount" numFmtId="0">
      <sharedItems containsSemiMixedTypes="0" containsString="0" containsNumber="1" containsInteger="1" minValue="51491" maxValue="999403"/>
    </cacheField>
    <cacheField name="Property_Value" numFmtId="0">
      <sharedItems containsSemiMixedTypes="0" containsString="0" containsNumber="1" containsInteger="1" minValue="200769" maxValue="999233"/>
    </cacheField>
    <cacheField name="Employment_Years" numFmtId="0">
      <sharedItems containsSemiMixedTypes="0" containsString="0" containsNumber="1" containsInteger="1" minValue="1" maxValue="12"/>
    </cacheField>
    <cacheField name="Loan_Type" numFmtId="0">
      <sharedItems count="4">
        <s v="Jumbo"/>
        <s v="VA"/>
        <s v="FHA"/>
        <s v="Conventional"/>
      </sharedItems>
    </cacheField>
    <cacheField name="State" numFmtId="0">
      <sharedItems count="50">
        <s v="Washington"/>
        <s v="Alabama"/>
        <s v="Louisiana"/>
        <s v="Vermont"/>
        <s v="West Virginia"/>
        <s v="Michigan"/>
        <s v="New Jersey"/>
        <s v="Rhode Island"/>
        <s v="Georgia"/>
        <s v="Massachusetts"/>
        <s v="Utah"/>
        <s v="Connecticut"/>
        <s v="Maryland"/>
        <s v="South Dakota"/>
        <s v="Minnesota"/>
        <s v="Virginia"/>
        <s v="Nebraska"/>
        <s v="Illinois"/>
        <s v="Wisconsin"/>
        <s v="Mississippi"/>
        <s v="South Carolina"/>
        <s v="Missouri"/>
        <s v="Maine"/>
        <s v="Iowa"/>
        <s v="Nevada"/>
        <s v="Arizona"/>
        <s v="North Carolina"/>
        <s v="Delaware"/>
        <s v="Alaska"/>
        <s v="New Mexico"/>
        <s v="Hawaii"/>
        <s v="California"/>
        <s v="Arkansas"/>
        <s v="Kentucky"/>
        <s v="Indiana"/>
        <s v="North Dakota"/>
        <s v="Tennessee"/>
        <s v="Texas"/>
        <s v="Wyoming"/>
        <s v="New Hampshire"/>
        <s v="Montana"/>
        <s v="Florida"/>
        <s v="Kansas"/>
        <s v="New York"/>
        <s v="Ohio"/>
        <s v="Colorado"/>
        <s v="Pennsylvania"/>
        <s v="Idaho"/>
        <s v="Oklahoma"/>
        <s v="Oregon"/>
      </sharedItems>
    </cacheField>
    <cacheField name="DTI_Ratio" numFmtId="0">
      <sharedItems containsSemiMixedTypes="0" containsString="0" containsNumber="1" minValue="3.486821864424162" maxValue="43.196772489313673"/>
    </cacheField>
    <cacheField name="LTV_Ratio" numFmtId="0">
      <sharedItems containsSemiMixedTypes="0" containsString="0" containsNumber="1" minValue="5.5861188348031554" maxValue="423.14330223521381"/>
    </cacheField>
    <cacheField name="Risk_Category" numFmtId="0">
      <sharedItems count="3">
        <s v="Moderate Risk"/>
        <s v="Low Risk"/>
        <s v="High Risk"/>
      </sharedItems>
    </cacheField>
    <cacheField name="Loan_Decision" numFmtId="0">
      <sharedItems count="3">
        <s v="Conditional Approval"/>
        <s v="Approved"/>
        <s v="Rejec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s v="B101"/>
    <n v="114932"/>
    <n v="1530"/>
    <n v="661"/>
    <n v="448917"/>
    <n v="579185"/>
    <n v="4"/>
    <x v="0"/>
    <x v="0"/>
    <n v="15.974663279156371"/>
    <n v="77.508395417699006"/>
    <x v="0"/>
    <x v="0"/>
  </r>
  <r>
    <s v="B102"/>
    <n v="91103"/>
    <n v="1146"/>
    <n v="726"/>
    <n v="293094"/>
    <n v="965781"/>
    <n v="4"/>
    <x v="1"/>
    <x v="1"/>
    <n v="15.095002359966189"/>
    <n v="30.347873896877239"/>
    <x v="0"/>
    <x v="1"/>
  </r>
  <r>
    <s v="B103"/>
    <n v="100527"/>
    <n v="1778"/>
    <n v="801"/>
    <n v="102526"/>
    <n v="516364"/>
    <n v="12"/>
    <x v="0"/>
    <x v="2"/>
    <n v="21.22414873616043"/>
    <n v="19.855373341286381"/>
    <x v="1"/>
    <x v="1"/>
  </r>
  <r>
    <s v="B104"/>
    <n v="77101"/>
    <n v="1821"/>
    <n v="495"/>
    <n v="567594"/>
    <n v="542874"/>
    <n v="6"/>
    <x v="1"/>
    <x v="3"/>
    <n v="28.342044850261349"/>
    <n v="104.55354281103899"/>
    <x v="2"/>
    <x v="2"/>
  </r>
  <r>
    <s v="B105"/>
    <n v="73943"/>
    <n v="343"/>
    <n v="503"/>
    <n v="638113"/>
    <n v="262525"/>
    <n v="5"/>
    <x v="0"/>
    <x v="4"/>
    <n v="5.5664498329794574"/>
    <n v="243.06751737929719"/>
    <x v="2"/>
    <x v="2"/>
  </r>
  <r>
    <s v="B106"/>
    <n v="74774"/>
    <n v="2190"/>
    <n v="612"/>
    <n v="201777"/>
    <n v="789701"/>
    <n v="6"/>
    <x v="2"/>
    <x v="5"/>
    <n v="35.145906331077647"/>
    <n v="25.551062997260988"/>
    <x v="2"/>
    <x v="2"/>
  </r>
  <r>
    <s v="B107"/>
    <n v="98282"/>
    <n v="2748"/>
    <n v="782"/>
    <n v="478008"/>
    <n v="834571"/>
    <n v="11"/>
    <x v="1"/>
    <x v="6"/>
    <n v="33.552430760464787"/>
    <n v="57.275893842465173"/>
    <x v="1"/>
    <x v="1"/>
  </r>
  <r>
    <s v="B108"/>
    <n v="111708"/>
    <n v="672"/>
    <n v="762"/>
    <n v="787576"/>
    <n v="569618"/>
    <n v="6"/>
    <x v="2"/>
    <x v="7"/>
    <n v="7.21882049629391"/>
    <n v="138.263889132717"/>
    <x v="1"/>
    <x v="0"/>
  </r>
  <r>
    <s v="B109"/>
    <n v="100426"/>
    <n v="2608"/>
    <n v="585"/>
    <n v="899044"/>
    <n v="348653"/>
    <n v="7"/>
    <x v="0"/>
    <x v="8"/>
    <n v="31.163244578097309"/>
    <n v="257.86211505422301"/>
    <x v="2"/>
    <x v="2"/>
  </r>
  <r>
    <s v="B110"/>
    <n v="101671"/>
    <n v="2389"/>
    <n v="811"/>
    <n v="868160"/>
    <n v="252958"/>
    <n v="3"/>
    <x v="1"/>
    <x v="9"/>
    <n v="28.19683095474619"/>
    <n v="343.20321950679562"/>
    <x v="1"/>
    <x v="0"/>
  </r>
  <r>
    <s v="B111"/>
    <n v="95482"/>
    <n v="2622"/>
    <n v="668"/>
    <n v="770763"/>
    <n v="399765"/>
    <n v="8"/>
    <x v="2"/>
    <x v="10"/>
    <n v="32.952807859072912"/>
    <n v="192.8040223631383"/>
    <x v="0"/>
    <x v="0"/>
  </r>
  <r>
    <s v="B112"/>
    <n v="99217"/>
    <n v="2086"/>
    <n v="551"/>
    <n v="510865"/>
    <n v="507332"/>
    <n v="12"/>
    <x v="3"/>
    <x v="11"/>
    <n v="25.22954735579588"/>
    <n v="100.6963881639636"/>
    <x v="2"/>
    <x v="2"/>
  </r>
  <r>
    <s v="B113"/>
    <n v="82333"/>
    <n v="2404"/>
    <n v="592"/>
    <n v="358713"/>
    <n v="685159"/>
    <n v="3"/>
    <x v="0"/>
    <x v="6"/>
    <n v="35.038198535216743"/>
    <n v="52.354708906983639"/>
    <x v="2"/>
    <x v="2"/>
  </r>
  <r>
    <s v="B114"/>
    <n v="89206"/>
    <n v="643"/>
    <n v="503"/>
    <n v="905228"/>
    <n v="741450"/>
    <n v="5"/>
    <x v="0"/>
    <x v="12"/>
    <n v="8.6496424007353774"/>
    <n v="122.0888798974981"/>
    <x v="2"/>
    <x v="2"/>
  </r>
  <r>
    <s v="B115"/>
    <n v="89234"/>
    <n v="1848"/>
    <n v="592"/>
    <n v="591864"/>
    <n v="840400"/>
    <n v="5"/>
    <x v="0"/>
    <x v="13"/>
    <n v="24.851513996907009"/>
    <n v="70.426463588767248"/>
    <x v="2"/>
    <x v="2"/>
  </r>
  <r>
    <s v="B116"/>
    <n v="114533"/>
    <n v="2665"/>
    <n v="470"/>
    <n v="547191"/>
    <n v="631685"/>
    <n v="5"/>
    <x v="3"/>
    <x v="14"/>
    <n v="27.922083591628621"/>
    <n v="86.624029381732981"/>
    <x v="2"/>
    <x v="2"/>
  </r>
  <r>
    <s v="B117"/>
    <n v="116815"/>
    <n v="1823"/>
    <n v="586"/>
    <n v="355009"/>
    <n v="704393"/>
    <n v="11"/>
    <x v="1"/>
    <x v="15"/>
    <n v="18.72704704019176"/>
    <n v="50.399279947415721"/>
    <x v="2"/>
    <x v="2"/>
  </r>
  <r>
    <s v="B118"/>
    <n v="112346"/>
    <n v="1173"/>
    <n v="735"/>
    <n v="405673"/>
    <n v="392069"/>
    <n v="4"/>
    <x v="0"/>
    <x v="16"/>
    <n v="12.529151015612481"/>
    <n v="103.4697974081093"/>
    <x v="0"/>
    <x v="0"/>
  </r>
  <r>
    <s v="B119"/>
    <n v="91350"/>
    <n v="750"/>
    <n v="530"/>
    <n v="176012"/>
    <n v="899448"/>
    <n v="1"/>
    <x v="1"/>
    <x v="17"/>
    <n v="9.8522167487684733"/>
    <n v="19.56889114212272"/>
    <x v="2"/>
    <x v="2"/>
  </r>
  <r>
    <s v="B120"/>
    <n v="74457"/>
    <n v="1636"/>
    <n v="743"/>
    <n v="730289"/>
    <n v="359167"/>
    <n v="11"/>
    <x v="3"/>
    <x v="18"/>
    <n v="26.366896329425039"/>
    <n v="203.3285351939349"/>
    <x v="0"/>
    <x v="0"/>
  </r>
  <r>
    <s v="B121"/>
    <n v="85863"/>
    <n v="1288"/>
    <n v="710"/>
    <n v="420141"/>
    <n v="801462"/>
    <n v="4"/>
    <x v="1"/>
    <x v="19"/>
    <n v="18.000768666363861"/>
    <n v="52.421824116427231"/>
    <x v="0"/>
    <x v="1"/>
  </r>
  <r>
    <s v="B122"/>
    <n v="74536"/>
    <n v="2305"/>
    <n v="668"/>
    <n v="798906"/>
    <n v="492097"/>
    <n v="11"/>
    <x v="2"/>
    <x v="13"/>
    <n v="37.109584630245791"/>
    <n v="162.34726080427231"/>
    <x v="0"/>
    <x v="0"/>
  </r>
  <r>
    <s v="B123"/>
    <n v="118887"/>
    <n v="2923"/>
    <n v="738"/>
    <n v="979221"/>
    <n v="355740"/>
    <n v="10"/>
    <x v="2"/>
    <x v="20"/>
    <n v="29.503646319614429"/>
    <n v="275.26311350986668"/>
    <x v="0"/>
    <x v="0"/>
  </r>
  <r>
    <s v="B124"/>
    <n v="93593"/>
    <n v="2459"/>
    <n v="555"/>
    <n v="100978"/>
    <n v="690923"/>
    <n v="8"/>
    <x v="0"/>
    <x v="18"/>
    <n v="31.52799888880579"/>
    <n v="14.614942620234091"/>
    <x v="2"/>
    <x v="2"/>
  </r>
  <r>
    <s v="B125"/>
    <n v="118968"/>
    <n v="1828"/>
    <n v="741"/>
    <n v="111499"/>
    <n v="624421"/>
    <n v="2"/>
    <x v="1"/>
    <x v="21"/>
    <n v="18.438571716764169"/>
    <n v="17.856382152426011"/>
    <x v="0"/>
    <x v="1"/>
  </r>
  <r>
    <s v="B126"/>
    <n v="98989"/>
    <n v="1087"/>
    <n v="664"/>
    <n v="450651"/>
    <n v="497748"/>
    <n v="9"/>
    <x v="2"/>
    <x v="8"/>
    <n v="13.1772217115033"/>
    <n v="90.537983075773283"/>
    <x v="0"/>
    <x v="0"/>
  </r>
  <r>
    <s v="B127"/>
    <n v="102214"/>
    <n v="2406"/>
    <n v="824"/>
    <n v="284354"/>
    <n v="373772"/>
    <n v="10"/>
    <x v="2"/>
    <x v="22"/>
    <n v="28.246619836812961"/>
    <n v="76.076859689864406"/>
    <x v="1"/>
    <x v="1"/>
  </r>
  <r>
    <s v="B128"/>
    <n v="97949"/>
    <n v="2446"/>
    <n v="631"/>
    <n v="886940"/>
    <n v="326622"/>
    <n v="12"/>
    <x v="2"/>
    <x v="18"/>
    <n v="29.966615279380079"/>
    <n v="271.54937511863869"/>
    <x v="2"/>
    <x v="2"/>
  </r>
  <r>
    <s v="B129"/>
    <n v="104491"/>
    <n v="375"/>
    <n v="624"/>
    <n v="753762"/>
    <n v="439489"/>
    <n v="5"/>
    <x v="0"/>
    <x v="23"/>
    <n v="4.3065909982677928"/>
    <n v="171.50872945625491"/>
    <x v="2"/>
    <x v="2"/>
  </r>
  <r>
    <s v="B130"/>
    <n v="110474"/>
    <n v="2415"/>
    <n v="535"/>
    <n v="455892"/>
    <n v="612670"/>
    <n v="11"/>
    <x v="2"/>
    <x v="24"/>
    <n v="26.232416677227221"/>
    <n v="74.410694174678042"/>
    <x v="2"/>
    <x v="2"/>
  </r>
  <r>
    <s v="B131"/>
    <n v="75449"/>
    <n v="1927"/>
    <n v="526"/>
    <n v="385604"/>
    <n v="887392"/>
    <n v="5"/>
    <x v="0"/>
    <x v="25"/>
    <n v="30.648517541650651"/>
    <n v="43.453625906025742"/>
    <x v="2"/>
    <x v="2"/>
  </r>
  <r>
    <s v="B132"/>
    <n v="78465"/>
    <n v="723"/>
    <n v="759"/>
    <n v="144210"/>
    <n v="842636"/>
    <n v="8"/>
    <x v="2"/>
    <x v="22"/>
    <n v="11.057159242974571"/>
    <n v="17.114151306139309"/>
    <x v="1"/>
    <x v="1"/>
  </r>
  <r>
    <s v="B133"/>
    <n v="95280"/>
    <n v="1173"/>
    <n v="823"/>
    <n v="247986"/>
    <n v="990421"/>
    <n v="7"/>
    <x v="0"/>
    <x v="26"/>
    <n v="14.77329974811083"/>
    <n v="25.03844324787136"/>
    <x v="1"/>
    <x v="1"/>
  </r>
  <r>
    <s v="B134"/>
    <n v="85659"/>
    <n v="521"/>
    <n v="594"/>
    <n v="652404"/>
    <n v="954627"/>
    <n v="9"/>
    <x v="1"/>
    <x v="27"/>
    <n v="7.298707666444856"/>
    <n v="68.341247419149056"/>
    <x v="2"/>
    <x v="2"/>
  </r>
  <r>
    <s v="B135"/>
    <n v="92328"/>
    <n v="938"/>
    <n v="511"/>
    <n v="160162"/>
    <n v="220442"/>
    <n v="8"/>
    <x v="3"/>
    <x v="28"/>
    <n v="12.191317910059791"/>
    <n v="72.654938714038167"/>
    <x v="2"/>
    <x v="2"/>
  </r>
  <r>
    <s v="B136"/>
    <n v="94629"/>
    <n v="2488"/>
    <n v="599"/>
    <n v="499503"/>
    <n v="763658"/>
    <n v="11"/>
    <x v="0"/>
    <x v="22"/>
    <n v="31.550581745553689"/>
    <n v="65.409253880663854"/>
    <x v="2"/>
    <x v="2"/>
  </r>
  <r>
    <s v="B137"/>
    <n v="77669"/>
    <n v="1609"/>
    <n v="566"/>
    <n v="586556"/>
    <n v="298444"/>
    <n v="9"/>
    <x v="3"/>
    <x v="29"/>
    <n v="24.85933898981575"/>
    <n v="196.53804398815191"/>
    <x v="2"/>
    <x v="2"/>
  </r>
  <r>
    <s v="B138"/>
    <n v="105141"/>
    <n v="2862"/>
    <n v="769"/>
    <n v="267279"/>
    <n v="787526"/>
    <n v="6"/>
    <x v="3"/>
    <x v="30"/>
    <n v="32.664707392929493"/>
    <n v="33.939069948166789"/>
    <x v="1"/>
    <x v="1"/>
  </r>
  <r>
    <s v="B139"/>
    <n v="96473"/>
    <n v="2250"/>
    <n v="590"/>
    <n v="776313"/>
    <n v="822639"/>
    <n v="9"/>
    <x v="0"/>
    <x v="21"/>
    <n v="27.987105200418771"/>
    <n v="94.36861126204812"/>
    <x v="2"/>
    <x v="2"/>
  </r>
  <r>
    <s v="B140"/>
    <n v="119041"/>
    <n v="1062"/>
    <n v="636"/>
    <n v="966209"/>
    <n v="306195"/>
    <n v="5"/>
    <x v="0"/>
    <x v="26"/>
    <n v="10.705555228870731"/>
    <n v="315.55348715687722"/>
    <x v="2"/>
    <x v="2"/>
  </r>
  <r>
    <s v="B141"/>
    <n v="108344"/>
    <n v="2432"/>
    <n v="576"/>
    <n v="158399"/>
    <n v="453574"/>
    <n v="5"/>
    <x v="1"/>
    <x v="28"/>
    <n v="26.93642472125822"/>
    <n v="34.922416187876728"/>
    <x v="2"/>
    <x v="2"/>
  </r>
  <r>
    <s v="B142"/>
    <n v="110470"/>
    <n v="630"/>
    <n v="624"/>
    <n v="863110"/>
    <n v="205302"/>
    <n v="7"/>
    <x v="2"/>
    <x v="31"/>
    <n v="6.8434869195256622"/>
    <n v="420.40993268453298"/>
    <x v="2"/>
    <x v="2"/>
  </r>
  <r>
    <s v="B143"/>
    <n v="95612"/>
    <n v="2845"/>
    <n v="474"/>
    <n v="860066"/>
    <n v="974876"/>
    <n v="7"/>
    <x v="3"/>
    <x v="22"/>
    <n v="35.706815044136718"/>
    <n v="88.223117606752027"/>
    <x v="2"/>
    <x v="2"/>
  </r>
  <r>
    <s v="B144"/>
    <n v="112845"/>
    <n v="425"/>
    <n v="770"/>
    <n v="486771"/>
    <n v="852087"/>
    <n v="11"/>
    <x v="3"/>
    <x v="32"/>
    <n v="4.5194736142496348"/>
    <n v="57.126913096902079"/>
    <x v="1"/>
    <x v="1"/>
  </r>
  <r>
    <s v="B145"/>
    <n v="116108"/>
    <n v="2788"/>
    <n v="718"/>
    <n v="370554"/>
    <n v="717344"/>
    <n v="4"/>
    <x v="0"/>
    <x v="25"/>
    <n v="28.814551968856581"/>
    <n v="51.65638800910024"/>
    <x v="0"/>
    <x v="1"/>
  </r>
  <r>
    <s v="B146"/>
    <n v="76373"/>
    <n v="815"/>
    <n v="735"/>
    <n v="509571"/>
    <n v="400406"/>
    <n v="3"/>
    <x v="0"/>
    <x v="8"/>
    <n v="12.8055726500203"/>
    <n v="127.2635774688691"/>
    <x v="0"/>
    <x v="0"/>
  </r>
  <r>
    <s v="B147"/>
    <n v="89062"/>
    <n v="1763"/>
    <n v="728"/>
    <n v="134313"/>
    <n v="370052"/>
    <n v="12"/>
    <x v="1"/>
    <x v="8"/>
    <n v="23.754238620286991"/>
    <n v="36.295709792137323"/>
    <x v="0"/>
    <x v="1"/>
  </r>
  <r>
    <s v="B148"/>
    <n v="107787"/>
    <n v="538"/>
    <n v="576"/>
    <n v="745601"/>
    <n v="561555"/>
    <n v="5"/>
    <x v="0"/>
    <x v="23"/>
    <n v="5.9895905814244763"/>
    <n v="132.77434979654711"/>
    <x v="2"/>
    <x v="2"/>
  </r>
  <r>
    <s v="B149"/>
    <n v="82170"/>
    <n v="1447"/>
    <n v="733"/>
    <n v="319391"/>
    <n v="219169"/>
    <n v="12"/>
    <x v="3"/>
    <x v="33"/>
    <n v="21.131799926980651"/>
    <n v="145.72818236155661"/>
    <x v="0"/>
    <x v="0"/>
  </r>
  <r>
    <s v="B150"/>
    <n v="119073"/>
    <n v="1603"/>
    <n v="730"/>
    <n v="333689"/>
    <n v="542699"/>
    <n v="3"/>
    <x v="1"/>
    <x v="21"/>
    <n v="16.154795797535961"/>
    <n v="61.48693843180105"/>
    <x v="0"/>
    <x v="1"/>
  </r>
  <r>
    <s v="B151"/>
    <n v="117219"/>
    <n v="1124"/>
    <n v="729"/>
    <n v="562189"/>
    <n v="768048"/>
    <n v="2"/>
    <x v="3"/>
    <x v="34"/>
    <n v="11.50666700790827"/>
    <n v="73.1971178884653"/>
    <x v="0"/>
    <x v="1"/>
  </r>
  <r>
    <s v="B152"/>
    <n v="119227"/>
    <n v="2770"/>
    <n v="609"/>
    <n v="806998"/>
    <n v="234078"/>
    <n v="2"/>
    <x v="0"/>
    <x v="21"/>
    <n v="27.879591032232629"/>
    <n v="344.75602149710778"/>
    <x v="2"/>
    <x v="2"/>
  </r>
  <r>
    <s v="B153"/>
    <n v="116442"/>
    <n v="1216"/>
    <n v="674"/>
    <n v="304074"/>
    <n v="276981"/>
    <n v="10"/>
    <x v="0"/>
    <x v="33"/>
    <n v="12.531560777039211"/>
    <n v="109.7815373617685"/>
    <x v="0"/>
    <x v="0"/>
  </r>
  <r>
    <s v="B154"/>
    <n v="111042"/>
    <n v="1796"/>
    <n v="705"/>
    <n v="656934"/>
    <n v="954754"/>
    <n v="5"/>
    <x v="3"/>
    <x v="21"/>
    <n v="19.408872318582159"/>
    <n v="68.806624533649511"/>
    <x v="0"/>
    <x v="1"/>
  </r>
  <r>
    <s v="B155"/>
    <n v="106585"/>
    <n v="1225"/>
    <n v="792"/>
    <n v="837209"/>
    <n v="578078"/>
    <n v="3"/>
    <x v="3"/>
    <x v="35"/>
    <n v="13.79180935403668"/>
    <n v="144.82630371679949"/>
    <x v="1"/>
    <x v="0"/>
  </r>
  <r>
    <s v="B156"/>
    <n v="77679"/>
    <n v="1561"/>
    <n v="798"/>
    <n v="294283"/>
    <n v="575375"/>
    <n v="1"/>
    <x v="2"/>
    <x v="36"/>
    <n v="24.114625574479589"/>
    <n v="51.146295893982177"/>
    <x v="1"/>
    <x v="1"/>
  </r>
  <r>
    <s v="B157"/>
    <n v="116130"/>
    <n v="586"/>
    <n v="769"/>
    <n v="837650"/>
    <n v="997841"/>
    <n v="3"/>
    <x v="3"/>
    <x v="22"/>
    <n v="6.0552828726427279"/>
    <n v="83.946239932013214"/>
    <x v="1"/>
    <x v="0"/>
  </r>
  <r>
    <s v="B158"/>
    <n v="89420"/>
    <n v="1757"/>
    <n v="512"/>
    <n v="783102"/>
    <n v="657549"/>
    <n v="4"/>
    <x v="2"/>
    <x v="23"/>
    <n v="23.57861775889063"/>
    <n v="119.09409032634829"/>
    <x v="2"/>
    <x v="2"/>
  </r>
  <r>
    <s v="B159"/>
    <n v="80080"/>
    <n v="2283"/>
    <n v="641"/>
    <n v="617027"/>
    <n v="510070"/>
    <n v="12"/>
    <x v="2"/>
    <x v="10"/>
    <n v="34.210789210789208"/>
    <n v="120.96908267492699"/>
    <x v="2"/>
    <x v="2"/>
  </r>
  <r>
    <s v="B160"/>
    <n v="94411"/>
    <n v="2818"/>
    <n v="465"/>
    <n v="86909"/>
    <n v="795950"/>
    <n v="7"/>
    <x v="3"/>
    <x v="37"/>
    <n v="35.81786020696741"/>
    <n v="10.918901941076699"/>
    <x v="2"/>
    <x v="2"/>
  </r>
  <r>
    <s v="B161"/>
    <n v="91753"/>
    <n v="1732"/>
    <n v="593"/>
    <n v="846194"/>
    <n v="691541"/>
    <n v="12"/>
    <x v="3"/>
    <x v="38"/>
    <n v="22.65212036663651"/>
    <n v="122.3635330370867"/>
    <x v="2"/>
    <x v="2"/>
  </r>
  <r>
    <s v="B162"/>
    <n v="82467"/>
    <n v="525"/>
    <n v="549"/>
    <n v="148724"/>
    <n v="798271"/>
    <n v="8"/>
    <x v="2"/>
    <x v="0"/>
    <n v="7.6394194041252863"/>
    <n v="18.630765742460891"/>
    <x v="2"/>
    <x v="2"/>
  </r>
  <r>
    <s v="B163"/>
    <n v="80438"/>
    <n v="1294"/>
    <n v="638"/>
    <n v="750471"/>
    <n v="892820"/>
    <n v="9"/>
    <x v="2"/>
    <x v="39"/>
    <n v="19.304308908724732"/>
    <n v="84.056248739947577"/>
    <x v="2"/>
    <x v="2"/>
  </r>
  <r>
    <s v="B164"/>
    <n v="109271"/>
    <n v="1537"/>
    <n v="586"/>
    <n v="90028"/>
    <n v="761579"/>
    <n v="11"/>
    <x v="0"/>
    <x v="1"/>
    <n v="16.879135360708698"/>
    <n v="11.821229314358719"/>
    <x v="2"/>
    <x v="2"/>
  </r>
  <r>
    <s v="B165"/>
    <n v="88011"/>
    <n v="300"/>
    <n v="839"/>
    <n v="454096"/>
    <n v="810432"/>
    <n v="9"/>
    <x v="1"/>
    <x v="37"/>
    <n v="4.0903977911851932"/>
    <n v="56.031351180604908"/>
    <x v="1"/>
    <x v="1"/>
  </r>
  <r>
    <s v="B166"/>
    <n v="82279"/>
    <n v="2904"/>
    <n v="641"/>
    <n v="849564"/>
    <n v="834956"/>
    <n v="9"/>
    <x v="3"/>
    <x v="30"/>
    <n v="42.35345592435494"/>
    <n v="101.74955326987291"/>
    <x v="2"/>
    <x v="2"/>
  </r>
  <r>
    <s v="B167"/>
    <n v="116507"/>
    <n v="2665"/>
    <n v="555"/>
    <n v="720212"/>
    <n v="323862"/>
    <n v="5"/>
    <x v="0"/>
    <x v="35"/>
    <n v="27.44899448101831"/>
    <n v="222.38237273900609"/>
    <x v="2"/>
    <x v="2"/>
  </r>
  <r>
    <s v="B168"/>
    <n v="74955"/>
    <n v="934"/>
    <n v="705"/>
    <n v="52131"/>
    <n v="581001"/>
    <n v="12"/>
    <x v="2"/>
    <x v="25"/>
    <n v="14.95297178306984"/>
    <n v="8.9726179473012948"/>
    <x v="0"/>
    <x v="1"/>
  </r>
  <r>
    <s v="B169"/>
    <n v="84451"/>
    <n v="1136"/>
    <n v="756"/>
    <n v="158620"/>
    <n v="701611"/>
    <n v="5"/>
    <x v="0"/>
    <x v="8"/>
    <n v="16.14190477318208"/>
    <n v="22.607969373342211"/>
    <x v="1"/>
    <x v="1"/>
  </r>
  <r>
    <s v="B170"/>
    <n v="92891"/>
    <n v="2968"/>
    <n v="714"/>
    <n v="471985"/>
    <n v="556966"/>
    <n v="4"/>
    <x v="0"/>
    <x v="23"/>
    <n v="38.341712329504468"/>
    <n v="84.742156612791447"/>
    <x v="0"/>
    <x v="0"/>
  </r>
  <r>
    <s v="B171"/>
    <n v="107864"/>
    <n v="1631"/>
    <n v="728"/>
    <n v="560403"/>
    <n v="841491"/>
    <n v="9"/>
    <x v="3"/>
    <x v="21"/>
    <n v="18.145071571608689"/>
    <n v="66.596434186461877"/>
    <x v="0"/>
    <x v="1"/>
  </r>
  <r>
    <s v="B172"/>
    <n v="75295"/>
    <n v="935"/>
    <n v="635"/>
    <n v="564961"/>
    <n v="709164"/>
    <n v="9"/>
    <x v="0"/>
    <x v="9"/>
    <n v="14.90138787436085"/>
    <n v="79.665775476476526"/>
    <x v="2"/>
    <x v="2"/>
  </r>
  <r>
    <s v="B173"/>
    <n v="119656"/>
    <n v="2026"/>
    <n v="526"/>
    <n v="751811"/>
    <n v="960458"/>
    <n v="1"/>
    <x v="3"/>
    <x v="14"/>
    <n v="20.318245637494151"/>
    <n v="78.276301514485809"/>
    <x v="2"/>
    <x v="2"/>
  </r>
  <r>
    <s v="B174"/>
    <n v="76950"/>
    <n v="754"/>
    <n v="529"/>
    <n v="722233"/>
    <n v="246063"/>
    <n v="5"/>
    <x v="2"/>
    <x v="18"/>
    <n v="11.75828460038986"/>
    <n v="293.51548180750461"/>
    <x v="2"/>
    <x v="2"/>
  </r>
  <r>
    <s v="B175"/>
    <n v="117136"/>
    <n v="1399"/>
    <n v="513"/>
    <n v="400121"/>
    <n v="226707"/>
    <n v="8"/>
    <x v="2"/>
    <x v="11"/>
    <n v="14.33205846195875"/>
    <n v="176.49256529352871"/>
    <x v="2"/>
    <x v="2"/>
  </r>
  <r>
    <s v="B176"/>
    <n v="92126"/>
    <n v="1695"/>
    <n v="741"/>
    <n v="758223"/>
    <n v="329477"/>
    <n v="10"/>
    <x v="0"/>
    <x v="2"/>
    <n v="22.078457764366199"/>
    <n v="230.12926547224839"/>
    <x v="0"/>
    <x v="0"/>
  </r>
  <r>
    <s v="B177"/>
    <n v="84542"/>
    <n v="1079"/>
    <n v="512"/>
    <n v="771874"/>
    <n v="633334"/>
    <n v="5"/>
    <x v="3"/>
    <x v="40"/>
    <n v="15.31546450285065"/>
    <n v="121.8747138160907"/>
    <x v="2"/>
    <x v="2"/>
  </r>
  <r>
    <s v="B178"/>
    <n v="74295"/>
    <n v="1377"/>
    <n v="589"/>
    <n v="900684"/>
    <n v="801245"/>
    <n v="9"/>
    <x v="3"/>
    <x v="38"/>
    <n v="22.241066020593578"/>
    <n v="112.4105610643436"/>
    <x v="2"/>
    <x v="2"/>
  </r>
  <r>
    <s v="B179"/>
    <n v="82214"/>
    <n v="1175"/>
    <n v="456"/>
    <n v="766871"/>
    <n v="930859"/>
    <n v="1"/>
    <x v="1"/>
    <x v="13"/>
    <n v="17.150363685017151"/>
    <n v="82.383153624770245"/>
    <x v="2"/>
    <x v="2"/>
  </r>
  <r>
    <s v="B180"/>
    <n v="97186"/>
    <n v="502"/>
    <n v="465"/>
    <n v="850389"/>
    <n v="452944"/>
    <n v="10"/>
    <x v="0"/>
    <x v="21"/>
    <n v="6.1984236412652027"/>
    <n v="187.74705040799739"/>
    <x v="2"/>
    <x v="2"/>
  </r>
  <r>
    <s v="B181"/>
    <n v="72027"/>
    <n v="1021"/>
    <n v="585"/>
    <n v="194124"/>
    <n v="616537"/>
    <n v="1"/>
    <x v="3"/>
    <x v="41"/>
    <n v="17.01028780873839"/>
    <n v="31.486188176865301"/>
    <x v="2"/>
    <x v="2"/>
  </r>
  <r>
    <s v="B182"/>
    <n v="113725"/>
    <n v="426"/>
    <n v="676"/>
    <n v="279684"/>
    <n v="430003"/>
    <n v="4"/>
    <x v="2"/>
    <x v="25"/>
    <n v="4.4950538579907668"/>
    <n v="65.042336913928509"/>
    <x v="0"/>
    <x v="0"/>
  </r>
  <r>
    <s v="B183"/>
    <n v="113203"/>
    <n v="1581"/>
    <n v="664"/>
    <n v="263515"/>
    <n v="508781"/>
    <n v="1"/>
    <x v="2"/>
    <x v="12"/>
    <n v="16.759273164138762"/>
    <n v="51.793404234827953"/>
    <x v="0"/>
    <x v="0"/>
  </r>
  <r>
    <s v="B184"/>
    <n v="110295"/>
    <n v="892"/>
    <n v="731"/>
    <n v="397471"/>
    <n v="995796"/>
    <n v="6"/>
    <x v="3"/>
    <x v="33"/>
    <n v="9.704882360941113"/>
    <n v="39.914902249055032"/>
    <x v="0"/>
    <x v="1"/>
  </r>
  <r>
    <s v="B185"/>
    <n v="93427"/>
    <n v="2223"/>
    <n v="458"/>
    <n v="287056"/>
    <n v="793483"/>
    <n v="12"/>
    <x v="3"/>
    <x v="3"/>
    <n v="28.552773823412931"/>
    <n v="36.17670447886092"/>
    <x v="2"/>
    <x v="2"/>
  </r>
  <r>
    <s v="B186"/>
    <n v="80135"/>
    <n v="1669"/>
    <n v="775"/>
    <n v="913340"/>
    <n v="221421"/>
    <n v="5"/>
    <x v="0"/>
    <x v="35"/>
    <n v="24.9928246084732"/>
    <n v="412.49023353701767"/>
    <x v="1"/>
    <x v="0"/>
  </r>
  <r>
    <s v="B187"/>
    <n v="117028"/>
    <n v="1802"/>
    <n v="755"/>
    <n v="738389"/>
    <n v="349415"/>
    <n v="8"/>
    <x v="1"/>
    <x v="42"/>
    <n v="18.477629285299241"/>
    <n v="211.32149449794659"/>
    <x v="1"/>
    <x v="0"/>
  </r>
  <r>
    <s v="B188"/>
    <n v="118946"/>
    <n v="2661"/>
    <n v="583"/>
    <n v="918116"/>
    <n v="477330"/>
    <n v="5"/>
    <x v="3"/>
    <x v="12"/>
    <n v="26.84579557109949"/>
    <n v="192.3440806150881"/>
    <x v="2"/>
    <x v="2"/>
  </r>
  <r>
    <s v="B189"/>
    <n v="105749"/>
    <n v="520"/>
    <n v="529"/>
    <n v="907957"/>
    <n v="508730"/>
    <n v="1"/>
    <x v="0"/>
    <x v="37"/>
    <n v="5.9007650190545542"/>
    <n v="178.475222613174"/>
    <x v="2"/>
    <x v="2"/>
  </r>
  <r>
    <s v="B190"/>
    <n v="74321"/>
    <n v="2538"/>
    <n v="650"/>
    <n v="454292"/>
    <n v="406767"/>
    <n v="7"/>
    <x v="1"/>
    <x v="30"/>
    <n v="40.978996515116847"/>
    <n v="111.6835928184931"/>
    <x v="0"/>
    <x v="0"/>
  </r>
  <r>
    <s v="B191"/>
    <n v="105448"/>
    <n v="2787"/>
    <n v="533"/>
    <n v="558818"/>
    <n v="454151"/>
    <n v="7"/>
    <x v="2"/>
    <x v="43"/>
    <n v="31.71610651695622"/>
    <n v="123.0467399609381"/>
    <x v="2"/>
    <x v="2"/>
  </r>
  <r>
    <s v="B192"/>
    <n v="101568"/>
    <n v="487"/>
    <n v="515"/>
    <n v="263500"/>
    <n v="795701"/>
    <n v="11"/>
    <x v="2"/>
    <x v="34"/>
    <n v="5.7537807183364844"/>
    <n v="33.115454171856022"/>
    <x v="2"/>
    <x v="2"/>
  </r>
  <r>
    <s v="B193"/>
    <n v="105564"/>
    <n v="2041"/>
    <n v="787"/>
    <n v="945553"/>
    <n v="375519"/>
    <n v="12"/>
    <x v="3"/>
    <x v="32"/>
    <n v="23.201091281118561"/>
    <n v="251.79897688266109"/>
    <x v="1"/>
    <x v="0"/>
  </r>
  <r>
    <s v="B194"/>
    <n v="95449"/>
    <n v="2311"/>
    <n v="534"/>
    <n v="963157"/>
    <n v="752402"/>
    <n v="5"/>
    <x v="1"/>
    <x v="26"/>
    <n v="29.054259342685619"/>
    <n v="128.01095690867379"/>
    <x v="2"/>
    <x v="2"/>
  </r>
  <r>
    <s v="B195"/>
    <n v="85303"/>
    <n v="2229"/>
    <n v="516"/>
    <n v="742554"/>
    <n v="520664"/>
    <n v="6"/>
    <x v="0"/>
    <x v="5"/>
    <n v="31.356458741193158"/>
    <n v="142.61673555306299"/>
    <x v="2"/>
    <x v="2"/>
  </r>
  <r>
    <s v="B196"/>
    <n v="77994"/>
    <n v="2474"/>
    <n v="681"/>
    <n v="432566"/>
    <n v="369245"/>
    <n v="3"/>
    <x v="2"/>
    <x v="2"/>
    <n v="38.064466497422877"/>
    <n v="117.1487765575702"/>
    <x v="0"/>
    <x v="0"/>
  </r>
  <r>
    <s v="B197"/>
    <n v="95375"/>
    <n v="1923"/>
    <n v="809"/>
    <n v="189540"/>
    <n v="594670"/>
    <n v="12"/>
    <x v="3"/>
    <x v="12"/>
    <n v="24.19501965923984"/>
    <n v="31.873139724553109"/>
    <x v="1"/>
    <x v="1"/>
  </r>
  <r>
    <s v="B198"/>
    <n v="112641"/>
    <n v="2107"/>
    <n v="543"/>
    <n v="472076"/>
    <n v="515448"/>
    <n v="5"/>
    <x v="3"/>
    <x v="17"/>
    <n v="22.446533677790509"/>
    <n v="91.585572162468381"/>
    <x v="2"/>
    <x v="2"/>
  </r>
  <r>
    <s v="B199"/>
    <n v="97194"/>
    <n v="827"/>
    <n v="484"/>
    <n v="127731"/>
    <n v="298545"/>
    <n v="4"/>
    <x v="2"/>
    <x v="9"/>
    <n v="10.21050682140873"/>
    <n v="42.784504848515297"/>
    <x v="2"/>
    <x v="2"/>
  </r>
  <r>
    <s v="B200"/>
    <n v="114617"/>
    <n v="2673"/>
    <n v="562"/>
    <n v="716275"/>
    <n v="487750"/>
    <n v="3"/>
    <x v="0"/>
    <x v="14"/>
    <n v="27.98537738729857"/>
    <n v="146.8528959507945"/>
    <x v="2"/>
    <x v="2"/>
  </r>
  <r>
    <s v="B201"/>
    <n v="105580"/>
    <n v="2078"/>
    <n v="501"/>
    <n v="434719"/>
    <n v="505856"/>
    <n v="6"/>
    <x v="3"/>
    <x v="2"/>
    <n v="23.618109490433788"/>
    <n v="85.937302315283404"/>
    <x v="2"/>
    <x v="2"/>
  </r>
  <r>
    <s v="B202"/>
    <n v="88053"/>
    <n v="2772"/>
    <n v="633"/>
    <n v="340987"/>
    <n v="999233"/>
    <n v="9"/>
    <x v="0"/>
    <x v="43"/>
    <n v="37.777247793942287"/>
    <n v="34.124873778187869"/>
    <x v="2"/>
    <x v="2"/>
  </r>
  <r>
    <s v="B203"/>
    <n v="75622"/>
    <n v="469"/>
    <n v="810"/>
    <n v="938014"/>
    <n v="286636"/>
    <n v="7"/>
    <x v="3"/>
    <x v="13"/>
    <n v="7.4422787019650372"/>
    <n v="327.24919409983391"/>
    <x v="1"/>
    <x v="0"/>
  </r>
  <r>
    <s v="B204"/>
    <n v="86918"/>
    <n v="717"/>
    <n v="804"/>
    <n v="974535"/>
    <n v="261882"/>
    <n v="12"/>
    <x v="2"/>
    <x v="21"/>
    <n v="9.8989852504659552"/>
    <n v="372.12752308291522"/>
    <x v="1"/>
    <x v="0"/>
  </r>
  <r>
    <s v="B205"/>
    <n v="106932"/>
    <n v="2519"/>
    <n v="598"/>
    <n v="649425"/>
    <n v="689873"/>
    <n v="7"/>
    <x v="3"/>
    <x v="44"/>
    <n v="28.268432274716641"/>
    <n v="94.13689186270517"/>
    <x v="2"/>
    <x v="2"/>
  </r>
  <r>
    <s v="B206"/>
    <n v="110947"/>
    <n v="470"/>
    <n v="845"/>
    <n v="578121"/>
    <n v="639187"/>
    <n v="6"/>
    <x v="0"/>
    <x v="11"/>
    <n v="5.0835083418208704"/>
    <n v="90.446301317141931"/>
    <x v="1"/>
    <x v="0"/>
  </r>
  <r>
    <s v="B207"/>
    <n v="89155"/>
    <n v="1016"/>
    <n v="452"/>
    <n v="889481"/>
    <n v="473868"/>
    <n v="5"/>
    <x v="2"/>
    <x v="5"/>
    <n v="13.675060288262021"/>
    <n v="187.70649210328611"/>
    <x v="2"/>
    <x v="2"/>
  </r>
  <r>
    <s v="B208"/>
    <n v="92709"/>
    <n v="893"/>
    <n v="654"/>
    <n v="869802"/>
    <n v="295858"/>
    <n v="9"/>
    <x v="2"/>
    <x v="22"/>
    <n v="11.558748341584961"/>
    <n v="293.99306424027742"/>
    <x v="0"/>
    <x v="0"/>
  </r>
  <r>
    <s v="B209"/>
    <n v="112982"/>
    <n v="2350"/>
    <n v="777"/>
    <n v="393919"/>
    <n v="226875"/>
    <n v="5"/>
    <x v="1"/>
    <x v="15"/>
    <n v="24.95972809828114"/>
    <n v="173.62820936639119"/>
    <x v="1"/>
    <x v="0"/>
  </r>
  <r>
    <s v="B210"/>
    <n v="84532"/>
    <n v="1325"/>
    <n v="848"/>
    <n v="221857"/>
    <n v="620063"/>
    <n v="12"/>
    <x v="2"/>
    <x v="45"/>
    <n v="18.809444943926561"/>
    <n v="35.779751412356489"/>
    <x v="1"/>
    <x v="1"/>
  </r>
  <r>
    <s v="B211"/>
    <n v="103683"/>
    <n v="1234"/>
    <n v="698"/>
    <n v="618351"/>
    <n v="770629"/>
    <n v="5"/>
    <x v="3"/>
    <x v="11"/>
    <n v="14.28199415526171"/>
    <n v="80.239778155247208"/>
    <x v="0"/>
    <x v="0"/>
  </r>
  <r>
    <s v="B212"/>
    <n v="109332"/>
    <n v="1459"/>
    <n v="620"/>
    <n v="842285"/>
    <n v="873856"/>
    <n v="2"/>
    <x v="0"/>
    <x v="21"/>
    <n v="16.01360992207222"/>
    <n v="96.387162186904945"/>
    <x v="2"/>
    <x v="2"/>
  </r>
  <r>
    <s v="B213"/>
    <n v="73147"/>
    <n v="618"/>
    <n v="487"/>
    <n v="669838"/>
    <n v="684567"/>
    <n v="5"/>
    <x v="2"/>
    <x v="17"/>
    <n v="10.138488249688979"/>
    <n v="97.848420972673239"/>
    <x v="2"/>
    <x v="2"/>
  </r>
  <r>
    <s v="B214"/>
    <n v="115277"/>
    <n v="1521"/>
    <n v="646"/>
    <n v="231830"/>
    <n v="606829"/>
    <n v="12"/>
    <x v="3"/>
    <x v="38"/>
    <n v="15.833167067151299"/>
    <n v="38.203513675186912"/>
    <x v="2"/>
    <x v="2"/>
  </r>
  <r>
    <s v="B215"/>
    <n v="81123"/>
    <n v="1069"/>
    <n v="576"/>
    <n v="745828"/>
    <n v="969845"/>
    <n v="7"/>
    <x v="0"/>
    <x v="8"/>
    <n v="15.81302466624755"/>
    <n v="76.901772963721001"/>
    <x v="2"/>
    <x v="2"/>
  </r>
  <r>
    <s v="B216"/>
    <n v="101574"/>
    <n v="1305"/>
    <n v="792"/>
    <n v="677078"/>
    <n v="593349"/>
    <n v="7"/>
    <x v="0"/>
    <x v="3"/>
    <n v="15.41733120680489"/>
    <n v="114.1112566128872"/>
    <x v="1"/>
    <x v="0"/>
  </r>
  <r>
    <s v="B217"/>
    <n v="74753"/>
    <n v="1135"/>
    <n v="629"/>
    <n v="816995"/>
    <n v="851084"/>
    <n v="1"/>
    <x v="1"/>
    <x v="10"/>
    <n v="18.220004548312438"/>
    <n v="95.994637427092982"/>
    <x v="2"/>
    <x v="2"/>
  </r>
  <r>
    <s v="B218"/>
    <n v="90888"/>
    <n v="1205"/>
    <n v="598"/>
    <n v="200431"/>
    <n v="533804"/>
    <n v="5"/>
    <x v="3"/>
    <x v="46"/>
    <n v="15.909691048323211"/>
    <n v="37.547676675334017"/>
    <x v="2"/>
    <x v="2"/>
  </r>
  <r>
    <s v="B219"/>
    <n v="89367"/>
    <n v="1375"/>
    <n v="797"/>
    <n v="780541"/>
    <n v="770584"/>
    <n v="11"/>
    <x v="0"/>
    <x v="1"/>
    <n v="18.463191110812719"/>
    <n v="101.2921368728134"/>
    <x v="1"/>
    <x v="0"/>
  </r>
  <r>
    <s v="B220"/>
    <n v="81967"/>
    <n v="1054"/>
    <n v="478"/>
    <n v="753599"/>
    <n v="840206"/>
    <n v="10"/>
    <x v="0"/>
    <x v="25"/>
    <n v="15.43060011956031"/>
    <n v="89.69217072955918"/>
    <x v="2"/>
    <x v="2"/>
  </r>
  <r>
    <s v="B221"/>
    <n v="77783"/>
    <n v="520"/>
    <n v="774"/>
    <n v="213454"/>
    <n v="703143"/>
    <n v="7"/>
    <x v="2"/>
    <x v="30"/>
    <n v="8.0223185014720428"/>
    <n v="30.357125079820179"/>
    <x v="1"/>
    <x v="1"/>
  </r>
  <r>
    <s v="B222"/>
    <n v="103913"/>
    <n v="2602"/>
    <n v="581"/>
    <n v="442997"/>
    <n v="517839"/>
    <n v="11"/>
    <x v="1"/>
    <x v="20"/>
    <n v="30.04821340929432"/>
    <n v="85.54724537935536"/>
    <x v="2"/>
    <x v="2"/>
  </r>
  <r>
    <s v="B223"/>
    <n v="111291"/>
    <n v="1173"/>
    <n v="612"/>
    <n v="887939"/>
    <n v="960045"/>
    <n v="11"/>
    <x v="1"/>
    <x v="46"/>
    <n v="12.647923012642529"/>
    <n v="92.489310396908479"/>
    <x v="2"/>
    <x v="2"/>
  </r>
  <r>
    <s v="B224"/>
    <n v="100955"/>
    <n v="1499"/>
    <n v="710"/>
    <n v="400819"/>
    <n v="961386"/>
    <n v="7"/>
    <x v="2"/>
    <x v="0"/>
    <n v="17.817839631518989"/>
    <n v="41.691786649691167"/>
    <x v="0"/>
    <x v="1"/>
  </r>
  <r>
    <s v="B225"/>
    <n v="72083"/>
    <n v="1584"/>
    <n v="548"/>
    <n v="62361"/>
    <n v="766296"/>
    <n v="4"/>
    <x v="0"/>
    <x v="14"/>
    <n v="26.369601709140849"/>
    <n v="8.1379780137179356"/>
    <x v="2"/>
    <x v="2"/>
  </r>
  <r>
    <s v="B226"/>
    <n v="88168"/>
    <n v="1159"/>
    <n v="850"/>
    <n v="304863"/>
    <n v="438496"/>
    <n v="11"/>
    <x v="0"/>
    <x v="15"/>
    <n v="15.774430632429"/>
    <n v="69.524693497774209"/>
    <x v="1"/>
    <x v="1"/>
  </r>
  <r>
    <s v="B227"/>
    <n v="117390"/>
    <n v="1706"/>
    <n v="548"/>
    <n v="868238"/>
    <n v="528870"/>
    <n v="3"/>
    <x v="1"/>
    <x v="16"/>
    <n v="17.439304881165349"/>
    <n v="164.1685102199028"/>
    <x v="2"/>
    <x v="2"/>
  </r>
  <r>
    <s v="B228"/>
    <n v="105918"/>
    <n v="2841"/>
    <n v="516"/>
    <n v="999403"/>
    <n v="335153"/>
    <n v="10"/>
    <x v="1"/>
    <x v="11"/>
    <n v="32.187163654902847"/>
    <n v="298.19306406327848"/>
    <x v="2"/>
    <x v="2"/>
  </r>
  <r>
    <s v="B229"/>
    <n v="96963"/>
    <n v="2022"/>
    <n v="504"/>
    <n v="909652"/>
    <n v="450150"/>
    <n v="7"/>
    <x v="2"/>
    <x v="35"/>
    <n v="25.02397821849571"/>
    <n v="202.0775297123181"/>
    <x v="2"/>
    <x v="2"/>
  </r>
  <r>
    <s v="B230"/>
    <n v="118812"/>
    <n v="1047"/>
    <n v="720"/>
    <n v="393529"/>
    <n v="325345"/>
    <n v="5"/>
    <x v="2"/>
    <x v="45"/>
    <n v="10.574689425310581"/>
    <n v="120.957445173585"/>
    <x v="0"/>
    <x v="0"/>
  </r>
  <r>
    <s v="B231"/>
    <n v="77872"/>
    <n v="580"/>
    <n v="476"/>
    <n v="831235"/>
    <n v="580767"/>
    <n v="10"/>
    <x v="0"/>
    <x v="29"/>
    <n v="8.9377439901376636"/>
    <n v="143.1271060511358"/>
    <x v="2"/>
    <x v="2"/>
  </r>
  <r>
    <s v="B232"/>
    <n v="102186"/>
    <n v="1545"/>
    <n v="461"/>
    <n v="939388"/>
    <n v="652406"/>
    <n v="9"/>
    <x v="0"/>
    <x v="11"/>
    <n v="18.143385590981151"/>
    <n v="143.9882527138009"/>
    <x v="2"/>
    <x v="2"/>
  </r>
  <r>
    <s v="B233"/>
    <n v="103615"/>
    <n v="1266"/>
    <n v="489"/>
    <n v="284721"/>
    <n v="617306"/>
    <n v="2"/>
    <x v="2"/>
    <x v="16"/>
    <n v="14.66196979201853"/>
    <n v="46.12315448092194"/>
    <x v="2"/>
    <x v="2"/>
  </r>
  <r>
    <s v="B234"/>
    <n v="102219"/>
    <n v="2074"/>
    <n v="794"/>
    <n v="324094"/>
    <n v="457518"/>
    <n v="2"/>
    <x v="0"/>
    <x v="47"/>
    <n v="24.347724004343611"/>
    <n v="70.83743153274844"/>
    <x v="1"/>
    <x v="1"/>
  </r>
  <r>
    <s v="B235"/>
    <n v="101515"/>
    <n v="2728"/>
    <n v="538"/>
    <n v="542223"/>
    <n v="494540"/>
    <n v="12"/>
    <x v="3"/>
    <x v="0"/>
    <n v="32.247451115598679"/>
    <n v="109.641889432604"/>
    <x v="2"/>
    <x v="2"/>
  </r>
  <r>
    <s v="B236"/>
    <n v="116964"/>
    <n v="1114"/>
    <n v="696"/>
    <n v="466324"/>
    <n v="655097"/>
    <n v="7"/>
    <x v="3"/>
    <x v="46"/>
    <n v="11.4291576895455"/>
    <n v="71.183962069739295"/>
    <x v="0"/>
    <x v="0"/>
  </r>
  <r>
    <s v="B237"/>
    <n v="119237"/>
    <n v="2749"/>
    <n v="785"/>
    <n v="332741"/>
    <n v="849740"/>
    <n v="2"/>
    <x v="1"/>
    <x v="11"/>
    <n v="27.6659090718485"/>
    <n v="39.157977734365808"/>
    <x v="1"/>
    <x v="1"/>
  </r>
  <r>
    <s v="B238"/>
    <n v="103422"/>
    <n v="1353"/>
    <n v="602"/>
    <n v="400938"/>
    <n v="407612"/>
    <n v="2"/>
    <x v="1"/>
    <x v="6"/>
    <n v="15.698787492022969"/>
    <n v="98.36265860671422"/>
    <x v="2"/>
    <x v="2"/>
  </r>
  <r>
    <s v="B239"/>
    <n v="91645"/>
    <n v="418"/>
    <n v="594"/>
    <n v="619439"/>
    <n v="902988"/>
    <n v="7"/>
    <x v="1"/>
    <x v="14"/>
    <n v="5.4732936875988871"/>
    <n v="68.59880751460706"/>
    <x v="2"/>
    <x v="2"/>
  </r>
  <r>
    <s v="B240"/>
    <n v="73043"/>
    <n v="988"/>
    <n v="510"/>
    <n v="979565"/>
    <n v="928626"/>
    <n v="8"/>
    <x v="0"/>
    <x v="3"/>
    <n v="16.231534849335318"/>
    <n v="105.4854160878545"/>
    <x v="2"/>
    <x v="2"/>
  </r>
  <r>
    <s v="B241"/>
    <n v="93910"/>
    <n v="1826"/>
    <n v="582"/>
    <n v="851182"/>
    <n v="397380"/>
    <n v="11"/>
    <x v="2"/>
    <x v="25"/>
    <n v="23.332978383558729"/>
    <n v="214.1985001761538"/>
    <x v="2"/>
    <x v="2"/>
  </r>
  <r>
    <s v="B242"/>
    <n v="115972"/>
    <n v="2672"/>
    <n v="696"/>
    <n v="419371"/>
    <n v="392756"/>
    <n v="1"/>
    <x v="1"/>
    <x v="5"/>
    <n v="27.648052978305099"/>
    <n v="106.7764719062217"/>
    <x v="0"/>
    <x v="0"/>
  </r>
  <r>
    <s v="B243"/>
    <n v="72594"/>
    <n v="1340"/>
    <n v="453"/>
    <n v="53888"/>
    <n v="701962"/>
    <n v="6"/>
    <x v="1"/>
    <x v="13"/>
    <n v="22.150590957930412"/>
    <n v="7.6767688279422526"/>
    <x v="2"/>
    <x v="2"/>
  </r>
  <r>
    <s v="B244"/>
    <n v="104011"/>
    <n v="597"/>
    <n v="501"/>
    <n v="118094"/>
    <n v="851430"/>
    <n v="12"/>
    <x v="0"/>
    <x v="24"/>
    <n v="6.8877330282373972"/>
    <n v="13.870077399198991"/>
    <x v="2"/>
    <x v="2"/>
  </r>
  <r>
    <s v="B245"/>
    <n v="114251"/>
    <n v="2560"/>
    <n v="540"/>
    <n v="525206"/>
    <n v="991499"/>
    <n v="6"/>
    <x v="2"/>
    <x v="33"/>
    <n v="26.888167280811551"/>
    <n v="52.970905669092957"/>
    <x v="2"/>
    <x v="2"/>
  </r>
  <r>
    <s v="B246"/>
    <n v="77755"/>
    <n v="2517"/>
    <n v="844"/>
    <n v="436620"/>
    <n v="835732"/>
    <n v="10"/>
    <x v="2"/>
    <x v="44"/>
    <n v="38.845090347887599"/>
    <n v="52.244020810499059"/>
    <x v="1"/>
    <x v="1"/>
  </r>
  <r>
    <s v="B247"/>
    <n v="118872"/>
    <n v="2558"/>
    <n v="850"/>
    <n v="925198"/>
    <n v="291920"/>
    <n v="1"/>
    <x v="1"/>
    <x v="28"/>
    <n v="25.822733696749449"/>
    <n v="316.93546177034813"/>
    <x v="1"/>
    <x v="0"/>
  </r>
  <r>
    <s v="B248"/>
    <n v="112169"/>
    <n v="1144"/>
    <n v="723"/>
    <n v="814389"/>
    <n v="472055"/>
    <n v="9"/>
    <x v="0"/>
    <x v="45"/>
    <n v="12.238675569898991"/>
    <n v="172.5199394138395"/>
    <x v="0"/>
    <x v="0"/>
  </r>
  <r>
    <s v="B249"/>
    <n v="96454"/>
    <n v="2523"/>
    <n v="562"/>
    <n v="205820"/>
    <n v="875173"/>
    <n v="6"/>
    <x v="2"/>
    <x v="41"/>
    <n v="31.389055923030671"/>
    <n v="23.517635941693811"/>
    <x v="2"/>
    <x v="2"/>
  </r>
  <r>
    <s v="B250"/>
    <n v="97999"/>
    <n v="1165"/>
    <n v="769"/>
    <n v="972018"/>
    <n v="575978"/>
    <n v="3"/>
    <x v="1"/>
    <x v="13"/>
    <n v="14.265451688282541"/>
    <n v="168.75957067804671"/>
    <x v="1"/>
    <x v="0"/>
  </r>
  <r>
    <s v="B251"/>
    <n v="106417"/>
    <n v="1630"/>
    <n v="676"/>
    <n v="995067"/>
    <n v="471306"/>
    <n v="6"/>
    <x v="0"/>
    <x v="48"/>
    <n v="18.380521909093471"/>
    <n v="211.129711906914"/>
    <x v="0"/>
    <x v="0"/>
  </r>
  <r>
    <s v="B252"/>
    <n v="107002"/>
    <n v="1647"/>
    <n v="769"/>
    <n v="441664"/>
    <n v="237208"/>
    <n v="8"/>
    <x v="2"/>
    <x v="11"/>
    <n v="18.470682790975872"/>
    <n v="186.19270850898789"/>
    <x v="1"/>
    <x v="0"/>
  </r>
  <r>
    <s v="B253"/>
    <n v="101709"/>
    <n v="1356"/>
    <n v="839"/>
    <n v="791018"/>
    <n v="437598"/>
    <n v="1"/>
    <x v="0"/>
    <x v="41"/>
    <n v="15.99858419608884"/>
    <n v="180.76362323410979"/>
    <x v="1"/>
    <x v="0"/>
  </r>
  <r>
    <s v="B254"/>
    <n v="87727"/>
    <n v="1986"/>
    <n v="632"/>
    <n v="454611"/>
    <n v="496611"/>
    <n v="8"/>
    <x v="3"/>
    <x v="15"/>
    <n v="27.166094816875081"/>
    <n v="91.542676259688164"/>
    <x v="2"/>
    <x v="2"/>
  </r>
  <r>
    <s v="B255"/>
    <n v="93911"/>
    <n v="2759"/>
    <n v="569"/>
    <n v="664376"/>
    <n v="945218"/>
    <n v="1"/>
    <x v="3"/>
    <x v="24"/>
    <n v="35.254656004088972"/>
    <n v="70.28812400948776"/>
    <x v="2"/>
    <x v="2"/>
  </r>
  <r>
    <s v="B256"/>
    <n v="99085"/>
    <n v="2510"/>
    <n v="470"/>
    <n v="851600"/>
    <n v="442106"/>
    <n v="3"/>
    <x v="3"/>
    <x v="19"/>
    <n v="30.398143008528031"/>
    <n v="192.623488484662"/>
    <x v="2"/>
    <x v="2"/>
  </r>
  <r>
    <s v="B257"/>
    <n v="94059"/>
    <n v="2348"/>
    <n v="617"/>
    <n v="307713"/>
    <n v="336092"/>
    <n v="10"/>
    <x v="2"/>
    <x v="4"/>
    <n v="29.955666124453799"/>
    <n v="91.556181045666065"/>
    <x v="2"/>
    <x v="2"/>
  </r>
  <r>
    <s v="B258"/>
    <n v="104533"/>
    <n v="569"/>
    <n v="520"/>
    <n v="224054"/>
    <n v="444158"/>
    <n v="9"/>
    <x v="2"/>
    <x v="32"/>
    <n v="6.531908583892168"/>
    <n v="50.444661584391127"/>
    <x v="2"/>
    <x v="2"/>
  </r>
  <r>
    <s v="B259"/>
    <n v="117012"/>
    <n v="340"/>
    <n v="554"/>
    <n v="726840"/>
    <n v="783119"/>
    <n v="8"/>
    <x v="3"/>
    <x v="5"/>
    <n v="3.486821864424162"/>
    <n v="92.81348045443923"/>
    <x v="2"/>
    <x v="2"/>
  </r>
  <r>
    <s v="B260"/>
    <n v="101142"/>
    <n v="994"/>
    <n v="795"/>
    <n v="988480"/>
    <n v="718403"/>
    <n v="7"/>
    <x v="2"/>
    <x v="6"/>
    <n v="11.793320282375269"/>
    <n v="137.5940802028945"/>
    <x v="1"/>
    <x v="0"/>
  </r>
  <r>
    <s v="B261"/>
    <n v="115852"/>
    <n v="2114"/>
    <n v="781"/>
    <n v="419861"/>
    <n v="795438"/>
    <n v="2"/>
    <x v="2"/>
    <x v="18"/>
    <n v="21.896902945136901"/>
    <n v="52.783623613656893"/>
    <x v="1"/>
    <x v="1"/>
  </r>
  <r>
    <s v="B262"/>
    <n v="100003"/>
    <n v="2263"/>
    <n v="534"/>
    <n v="558450"/>
    <n v="368829"/>
    <n v="11"/>
    <x v="2"/>
    <x v="30"/>
    <n v="27.155185344439669"/>
    <n v="151.41162977965399"/>
    <x v="2"/>
    <x v="2"/>
  </r>
  <r>
    <s v="B263"/>
    <n v="78704"/>
    <n v="1837"/>
    <n v="694"/>
    <n v="516503"/>
    <n v="432927"/>
    <n v="9"/>
    <x v="0"/>
    <x v="0"/>
    <n v="28.008741614149219"/>
    <n v="119.3048712600508"/>
    <x v="0"/>
    <x v="0"/>
  </r>
  <r>
    <s v="B264"/>
    <n v="109032"/>
    <n v="2993"/>
    <n v="786"/>
    <n v="78101"/>
    <n v="739331"/>
    <n v="9"/>
    <x v="1"/>
    <x v="18"/>
    <n v="32.940788025533791"/>
    <n v="10.56373938060219"/>
    <x v="1"/>
    <x v="1"/>
  </r>
  <r>
    <s v="B265"/>
    <n v="83575"/>
    <n v="1245"/>
    <n v="767"/>
    <n v="569846"/>
    <n v="788311"/>
    <n v="11"/>
    <x v="2"/>
    <x v="30"/>
    <n v="17.876159138498359"/>
    <n v="72.286952738195964"/>
    <x v="1"/>
    <x v="1"/>
  </r>
  <r>
    <s v="B266"/>
    <n v="94104"/>
    <n v="2518"/>
    <n v="745"/>
    <n v="185086"/>
    <n v="538982"/>
    <n v="10"/>
    <x v="2"/>
    <x v="49"/>
    <n v="32.109155827595004"/>
    <n v="34.339922297961706"/>
    <x v="0"/>
    <x v="1"/>
  </r>
  <r>
    <s v="B267"/>
    <n v="85998"/>
    <n v="523"/>
    <n v="503"/>
    <n v="160950"/>
    <n v="261789"/>
    <n v="10"/>
    <x v="1"/>
    <x v="44"/>
    <n v="7.2978441359101378"/>
    <n v="61.480810882046242"/>
    <x v="2"/>
    <x v="2"/>
  </r>
  <r>
    <s v="B268"/>
    <n v="93723"/>
    <n v="1255"/>
    <n v="748"/>
    <n v="284415"/>
    <n v="523405"/>
    <n v="7"/>
    <x v="3"/>
    <x v="24"/>
    <n v="16.068627764796261"/>
    <n v="54.339373907394851"/>
    <x v="0"/>
    <x v="1"/>
  </r>
  <r>
    <s v="B269"/>
    <n v="100665"/>
    <n v="1726"/>
    <n v="756"/>
    <n v="291966"/>
    <n v="475342"/>
    <n v="7"/>
    <x v="0"/>
    <x v="23"/>
    <n v="20.575175085680229"/>
    <n v="61.422302258163597"/>
    <x v="1"/>
    <x v="1"/>
  </r>
  <r>
    <s v="B270"/>
    <n v="93783"/>
    <n v="1387"/>
    <n v="555"/>
    <n v="126688"/>
    <n v="358160"/>
    <n v="10"/>
    <x v="3"/>
    <x v="18"/>
    <n v="17.74735293176802"/>
    <n v="35.371900826446279"/>
    <x v="2"/>
    <x v="2"/>
  </r>
  <r>
    <s v="B271"/>
    <n v="103600"/>
    <n v="456"/>
    <n v="515"/>
    <n v="519463"/>
    <n v="625797"/>
    <n v="11"/>
    <x v="0"/>
    <x v="47"/>
    <n v="5.2818532818532811"/>
    <n v="83.00822790777201"/>
    <x v="2"/>
    <x v="2"/>
  </r>
  <r>
    <s v="B272"/>
    <n v="108191"/>
    <n v="2126"/>
    <n v="850"/>
    <n v="517355"/>
    <n v="365976"/>
    <n v="12"/>
    <x v="0"/>
    <x v="0"/>
    <n v="23.58051963656866"/>
    <n v="141.36309484774961"/>
    <x v="1"/>
    <x v="0"/>
  </r>
  <r>
    <s v="B273"/>
    <n v="77286"/>
    <n v="2713"/>
    <n v="622"/>
    <n v="77990"/>
    <n v="583801"/>
    <n v="2"/>
    <x v="1"/>
    <x v="17"/>
    <n v="42.124058691095406"/>
    <n v="13.359004181219291"/>
    <x v="2"/>
    <x v="2"/>
  </r>
  <r>
    <s v="B274"/>
    <n v="88181"/>
    <n v="2975"/>
    <n v="740"/>
    <n v="297418"/>
    <n v="918995"/>
    <n v="6"/>
    <x v="0"/>
    <x v="0"/>
    <n v="40.484911715675707"/>
    <n v="32.363396971691913"/>
    <x v="0"/>
    <x v="1"/>
  </r>
  <r>
    <s v="B275"/>
    <n v="101291"/>
    <n v="2889"/>
    <n v="502"/>
    <n v="142555"/>
    <n v="257787"/>
    <n v="12"/>
    <x v="2"/>
    <x v="14"/>
    <n v="34.226140525811772"/>
    <n v="55.29953023232359"/>
    <x v="2"/>
    <x v="2"/>
  </r>
  <r>
    <s v="B276"/>
    <n v="73668"/>
    <n v="1994"/>
    <n v="740"/>
    <n v="56412"/>
    <n v="504556"/>
    <n v="2"/>
    <x v="1"/>
    <x v="2"/>
    <n v="32.480860074930767"/>
    <n v="11.180523073751971"/>
    <x v="0"/>
    <x v="1"/>
  </r>
  <r>
    <s v="B277"/>
    <n v="82978"/>
    <n v="1524"/>
    <n v="603"/>
    <n v="921638"/>
    <n v="672743"/>
    <n v="12"/>
    <x v="0"/>
    <x v="1"/>
    <n v="22.039576755284539"/>
    <n v="136.99704047459429"/>
    <x v="2"/>
    <x v="2"/>
  </r>
  <r>
    <s v="B278"/>
    <n v="95596"/>
    <n v="1752"/>
    <n v="824"/>
    <n v="525358"/>
    <n v="806572"/>
    <n v="10"/>
    <x v="1"/>
    <x v="25"/>
    <n v="21.992551989622999"/>
    <n v="65.134668696656959"/>
    <x v="1"/>
    <x v="1"/>
  </r>
  <r>
    <s v="B279"/>
    <n v="100243"/>
    <n v="1279"/>
    <n v="702"/>
    <n v="392449"/>
    <n v="479727"/>
    <n v="7"/>
    <x v="2"/>
    <x v="34"/>
    <n v="15.31079476871203"/>
    <n v="81.806735914384646"/>
    <x v="0"/>
    <x v="0"/>
  </r>
  <r>
    <s v="B280"/>
    <n v="105154"/>
    <n v="1345"/>
    <n v="636"/>
    <n v="519432"/>
    <n v="714370"/>
    <n v="11"/>
    <x v="2"/>
    <x v="25"/>
    <n v="15.34891682674934"/>
    <n v="72.711899995800493"/>
    <x v="2"/>
    <x v="2"/>
  </r>
  <r>
    <s v="B281"/>
    <n v="105623"/>
    <n v="717"/>
    <n v="583"/>
    <n v="166542"/>
    <n v="397135"/>
    <n v="7"/>
    <x v="0"/>
    <x v="40"/>
    <n v="8.1459530594662155"/>
    <n v="41.935865637629519"/>
    <x v="2"/>
    <x v="2"/>
  </r>
  <r>
    <s v="B282"/>
    <n v="100624"/>
    <n v="588"/>
    <n v="825"/>
    <n v="862114"/>
    <n v="494466"/>
    <n v="3"/>
    <x v="3"/>
    <x v="27"/>
    <n v="7.0122435999363963"/>
    <n v="174.35253384459199"/>
    <x v="1"/>
    <x v="0"/>
  </r>
  <r>
    <s v="B283"/>
    <n v="103211"/>
    <n v="479"/>
    <n v="591"/>
    <n v="982744"/>
    <n v="449920"/>
    <n v="4"/>
    <x v="0"/>
    <x v="34"/>
    <n v="5.5691738283710066"/>
    <n v="218.42638691322901"/>
    <x v="2"/>
    <x v="2"/>
  </r>
  <r>
    <s v="B284"/>
    <n v="84858"/>
    <n v="312"/>
    <n v="684"/>
    <n v="873266"/>
    <n v="590921"/>
    <n v="3"/>
    <x v="3"/>
    <x v="33"/>
    <n v="4.4120766456904477"/>
    <n v="147.7804985776441"/>
    <x v="0"/>
    <x v="0"/>
  </r>
  <r>
    <s v="B285"/>
    <n v="97168"/>
    <n v="685"/>
    <n v="510"/>
    <n v="708016"/>
    <n v="874267"/>
    <n v="4"/>
    <x v="1"/>
    <x v="39"/>
    <n v="8.4595751687798462"/>
    <n v="80.983955702319776"/>
    <x v="2"/>
    <x v="2"/>
  </r>
  <r>
    <s v="B286"/>
    <n v="106712"/>
    <n v="331"/>
    <n v="846"/>
    <n v="584997"/>
    <n v="978384"/>
    <n v="3"/>
    <x v="0"/>
    <x v="6"/>
    <n v="3.72216807856661"/>
    <n v="59.792167492518267"/>
    <x v="1"/>
    <x v="1"/>
  </r>
  <r>
    <s v="B287"/>
    <n v="111156"/>
    <n v="1216"/>
    <n v="749"/>
    <n v="120601"/>
    <n v="984303"/>
    <n v="2"/>
    <x v="0"/>
    <x v="41"/>
    <n v="13.127496491417469"/>
    <n v="12.252426336199321"/>
    <x v="0"/>
    <x v="1"/>
  </r>
  <r>
    <s v="B288"/>
    <n v="115411"/>
    <n v="1388"/>
    <n v="516"/>
    <n v="854371"/>
    <n v="816663"/>
    <n v="2"/>
    <x v="3"/>
    <x v="31"/>
    <n v="14.43189990555493"/>
    <n v="104.61732685330421"/>
    <x v="2"/>
    <x v="2"/>
  </r>
  <r>
    <s v="B289"/>
    <n v="73973"/>
    <n v="374"/>
    <n v="556"/>
    <n v="420641"/>
    <n v="850765"/>
    <n v="6"/>
    <x v="1"/>
    <x v="21"/>
    <n v="6.0670785286523454"/>
    <n v="49.442678060333932"/>
    <x v="2"/>
    <x v="2"/>
  </r>
  <r>
    <s v="B290"/>
    <n v="78931"/>
    <n v="2030"/>
    <n v="597"/>
    <n v="240980"/>
    <n v="863363"/>
    <n v="6"/>
    <x v="0"/>
    <x v="39"/>
    <n v="30.862398804018699"/>
    <n v="27.911782182002241"/>
    <x v="2"/>
    <x v="2"/>
  </r>
  <r>
    <s v="B291"/>
    <n v="88085"/>
    <n v="2073"/>
    <n v="659"/>
    <n v="371648"/>
    <n v="407283"/>
    <n v="7"/>
    <x v="3"/>
    <x v="30"/>
    <n v="28.240903672588971"/>
    <n v="91.250555510541815"/>
    <x v="0"/>
    <x v="0"/>
  </r>
  <r>
    <s v="B292"/>
    <n v="103146"/>
    <n v="2593"/>
    <n v="481"/>
    <n v="767006"/>
    <n v="200769"/>
    <n v="5"/>
    <x v="1"/>
    <x v="41"/>
    <n v="30.166947821534521"/>
    <n v="382.0340789663743"/>
    <x v="2"/>
    <x v="2"/>
  </r>
  <r>
    <s v="B293"/>
    <n v="91455"/>
    <n v="2718"/>
    <n v="501"/>
    <n v="783532"/>
    <n v="552214"/>
    <n v="2"/>
    <x v="1"/>
    <x v="4"/>
    <n v="35.663441036575357"/>
    <n v="141.88919513087319"/>
    <x v="2"/>
    <x v="2"/>
  </r>
  <r>
    <s v="B294"/>
    <n v="97822"/>
    <n v="1706"/>
    <n v="588"/>
    <n v="465151"/>
    <n v="264752"/>
    <n v="1"/>
    <x v="3"/>
    <x v="2"/>
    <n v="20.92780765063074"/>
    <n v="175.69310146854411"/>
    <x v="2"/>
    <x v="2"/>
  </r>
  <r>
    <s v="B295"/>
    <n v="114645"/>
    <n v="798"/>
    <n v="751"/>
    <n v="940441"/>
    <n v="538806"/>
    <n v="7"/>
    <x v="2"/>
    <x v="14"/>
    <n v="8.3527410702603699"/>
    <n v="174.5416717705445"/>
    <x v="1"/>
    <x v="0"/>
  </r>
  <r>
    <s v="B296"/>
    <n v="82806"/>
    <n v="1855"/>
    <n v="521"/>
    <n v="932421"/>
    <n v="759255"/>
    <n v="4"/>
    <x v="3"/>
    <x v="21"/>
    <n v="26.882109992029559"/>
    <n v="122.80735721200389"/>
    <x v="2"/>
    <x v="2"/>
  </r>
  <r>
    <s v="B297"/>
    <n v="112692"/>
    <n v="597"/>
    <n v="684"/>
    <n v="794089"/>
    <n v="621835"/>
    <n v="1"/>
    <x v="1"/>
    <x v="19"/>
    <n v="6.3571504632094564"/>
    <n v="127.7009174459463"/>
    <x v="0"/>
    <x v="0"/>
  </r>
  <r>
    <s v="B298"/>
    <n v="119160"/>
    <n v="715"/>
    <n v="595"/>
    <n v="768586"/>
    <n v="246901"/>
    <n v="1"/>
    <x v="0"/>
    <x v="1"/>
    <n v="7.2004028197381684"/>
    <n v="311.29319038805028"/>
    <x v="2"/>
    <x v="2"/>
  </r>
  <r>
    <s v="B299"/>
    <n v="79613"/>
    <n v="2231"/>
    <n v="553"/>
    <n v="427160"/>
    <n v="774475"/>
    <n v="4"/>
    <x v="0"/>
    <x v="33"/>
    <n v="33.627673872357533"/>
    <n v="55.154782271861578"/>
    <x v="2"/>
    <x v="2"/>
  </r>
  <r>
    <s v="B300"/>
    <n v="113992"/>
    <n v="2345"/>
    <n v="460"/>
    <n v="412630"/>
    <n v="961247"/>
    <n v="9"/>
    <x v="3"/>
    <x v="44"/>
    <n v="24.685942873184079"/>
    <n v="42.926531890346602"/>
    <x v="2"/>
    <x v="2"/>
  </r>
  <r>
    <s v="B301"/>
    <n v="114729"/>
    <n v="574"/>
    <n v="639"/>
    <n v="403874"/>
    <n v="602722"/>
    <n v="8"/>
    <x v="2"/>
    <x v="12"/>
    <n v="6.0037130978218238"/>
    <n v="67.008338836146692"/>
    <x v="2"/>
    <x v="2"/>
  </r>
  <r>
    <s v="B302"/>
    <n v="98282"/>
    <n v="723"/>
    <n v="745"/>
    <n v="583781"/>
    <n v="942651"/>
    <n v="11"/>
    <x v="3"/>
    <x v="6"/>
    <n v="8.8276591847947739"/>
    <n v="61.929706752552107"/>
    <x v="0"/>
    <x v="1"/>
  </r>
  <r>
    <s v="B303"/>
    <n v="104091"/>
    <n v="2553"/>
    <n v="638"/>
    <n v="644924"/>
    <n v="542848"/>
    <n v="4"/>
    <x v="3"/>
    <x v="21"/>
    <n v="29.431939360751649"/>
    <n v="118.8037903796274"/>
    <x v="2"/>
    <x v="2"/>
  </r>
  <r>
    <s v="B304"/>
    <n v="73105"/>
    <n v="553"/>
    <n v="469"/>
    <n v="546318"/>
    <n v="774361"/>
    <n v="11"/>
    <x v="1"/>
    <x v="23"/>
    <n v="9.0773544901169547"/>
    <n v="70.550815446542373"/>
    <x v="2"/>
    <x v="2"/>
  </r>
  <r>
    <s v="B305"/>
    <n v="74624"/>
    <n v="2155"/>
    <n v="480"/>
    <n v="53049"/>
    <n v="906442"/>
    <n v="5"/>
    <x v="0"/>
    <x v="11"/>
    <n v="34.653730703259008"/>
    <n v="5.8524428479704156"/>
    <x v="2"/>
    <x v="2"/>
  </r>
  <r>
    <s v="B306"/>
    <n v="93017"/>
    <n v="1523"/>
    <n v="810"/>
    <n v="773970"/>
    <n v="295563"/>
    <n v="6"/>
    <x v="2"/>
    <x v="35"/>
    <n v="19.6480213294344"/>
    <n v="261.86295307599391"/>
    <x v="1"/>
    <x v="0"/>
  </r>
  <r>
    <s v="B307"/>
    <n v="108350"/>
    <n v="1661"/>
    <n v="736"/>
    <n v="767962"/>
    <n v="699957"/>
    <n v="5"/>
    <x v="0"/>
    <x v="42"/>
    <n v="18.395939086294419"/>
    <n v="109.7155968152329"/>
    <x v="0"/>
    <x v="0"/>
  </r>
  <r>
    <s v="B308"/>
    <n v="115895"/>
    <n v="870"/>
    <n v="628"/>
    <n v="823688"/>
    <n v="890635"/>
    <n v="8"/>
    <x v="2"/>
    <x v="45"/>
    <n v="9.0081539324388462"/>
    <n v="92.483228258489731"/>
    <x v="2"/>
    <x v="2"/>
  </r>
  <r>
    <s v="B309"/>
    <n v="105685"/>
    <n v="1495"/>
    <n v="711"/>
    <n v="922555"/>
    <n v="526093"/>
    <n v="1"/>
    <x v="0"/>
    <x v="42"/>
    <n v="16.97497279651795"/>
    <n v="175.35967975243921"/>
    <x v="0"/>
    <x v="0"/>
  </r>
  <r>
    <s v="B310"/>
    <n v="113454"/>
    <n v="2970"/>
    <n v="829"/>
    <n v="545174"/>
    <n v="207289"/>
    <n v="8"/>
    <x v="2"/>
    <x v="47"/>
    <n v="31.413612565445021"/>
    <n v="263.00189590378648"/>
    <x v="1"/>
    <x v="0"/>
  </r>
  <r>
    <s v="B311"/>
    <n v="94653"/>
    <n v="2663"/>
    <n v="568"/>
    <n v="566455"/>
    <n v="579601"/>
    <n v="7"/>
    <x v="2"/>
    <x v="40"/>
    <n v="33.761212005958598"/>
    <n v="97.731887971207783"/>
    <x v="2"/>
    <x v="2"/>
  </r>
  <r>
    <s v="B312"/>
    <n v="112985"/>
    <n v="2927"/>
    <n v="559"/>
    <n v="527185"/>
    <n v="850969"/>
    <n v="5"/>
    <x v="0"/>
    <x v="19"/>
    <n v="31.087312475107311"/>
    <n v="61.951140405819707"/>
    <x v="2"/>
    <x v="2"/>
  </r>
  <r>
    <s v="B313"/>
    <n v="72190"/>
    <n v="560"/>
    <n v="554"/>
    <n v="561401"/>
    <n v="486652"/>
    <n v="11"/>
    <x v="1"/>
    <x v="49"/>
    <n v="9.3087685274968841"/>
    <n v="115.3598464611262"/>
    <x v="2"/>
    <x v="2"/>
  </r>
  <r>
    <s v="B314"/>
    <n v="80428"/>
    <n v="2455"/>
    <n v="641"/>
    <n v="569995"/>
    <n v="359915"/>
    <n v="9"/>
    <x v="0"/>
    <x v="29"/>
    <n v="36.629034664544683"/>
    <n v="158.36933720461781"/>
    <x v="2"/>
    <x v="2"/>
  </r>
  <r>
    <s v="B315"/>
    <n v="91859"/>
    <n v="1264"/>
    <n v="661"/>
    <n v="814178"/>
    <n v="847497"/>
    <n v="10"/>
    <x v="0"/>
    <x v="35"/>
    <n v="16.512263360149799"/>
    <n v="96.06854065560114"/>
    <x v="0"/>
    <x v="0"/>
  </r>
  <r>
    <s v="B316"/>
    <n v="73096"/>
    <n v="354"/>
    <n v="624"/>
    <n v="742643"/>
    <n v="442626"/>
    <n v="10"/>
    <x v="3"/>
    <x v="47"/>
    <n v="5.8115355149392576"/>
    <n v="167.78115158169649"/>
    <x v="2"/>
    <x v="2"/>
  </r>
  <r>
    <s v="B317"/>
    <n v="117200"/>
    <n v="2555"/>
    <n v="697"/>
    <n v="452454"/>
    <n v="343862"/>
    <n v="5"/>
    <x v="2"/>
    <x v="49"/>
    <n v="26.160409556314001"/>
    <n v="131.5801106257743"/>
    <x v="0"/>
    <x v="0"/>
  </r>
  <r>
    <s v="B318"/>
    <n v="91414"/>
    <n v="814"/>
    <n v="636"/>
    <n v="995317"/>
    <n v="868315"/>
    <n v="7"/>
    <x v="0"/>
    <x v="38"/>
    <n v="10.68545299407093"/>
    <n v="114.6262589037389"/>
    <x v="2"/>
    <x v="2"/>
  </r>
  <r>
    <s v="B319"/>
    <n v="103770"/>
    <n v="1997"/>
    <n v="486"/>
    <n v="493884"/>
    <n v="452340"/>
    <n v="6"/>
    <x v="2"/>
    <x v="42"/>
    <n v="23.093379589476729"/>
    <n v="109.1842419419021"/>
    <x v="2"/>
    <x v="2"/>
  </r>
  <r>
    <s v="B320"/>
    <n v="78117"/>
    <n v="2123"/>
    <n v="497"/>
    <n v="272944"/>
    <n v="868589"/>
    <n v="11"/>
    <x v="0"/>
    <x v="42"/>
    <n v="32.612619532240103"/>
    <n v="31.42383797169893"/>
    <x v="2"/>
    <x v="2"/>
  </r>
  <r>
    <s v="B321"/>
    <n v="109286"/>
    <n v="2184"/>
    <n v="827"/>
    <n v="502376"/>
    <n v="441131"/>
    <n v="10"/>
    <x v="0"/>
    <x v="26"/>
    <n v="23.98111377486595"/>
    <n v="113.8836309395622"/>
    <x v="1"/>
    <x v="0"/>
  </r>
  <r>
    <s v="B322"/>
    <n v="113007"/>
    <n v="2692"/>
    <n v="801"/>
    <n v="534649"/>
    <n v="887692"/>
    <n v="8"/>
    <x v="2"/>
    <x v="35"/>
    <n v="28.585839815232681"/>
    <n v="60.229110997958763"/>
    <x v="1"/>
    <x v="1"/>
  </r>
  <r>
    <s v="B323"/>
    <n v="79614"/>
    <n v="775"/>
    <n v="513"/>
    <n v="186485"/>
    <n v="202447"/>
    <n v="10"/>
    <x v="1"/>
    <x v="0"/>
    <n v="11.681362574421581"/>
    <n v="92.115467258097183"/>
    <x v="2"/>
    <x v="2"/>
  </r>
  <r>
    <s v="B324"/>
    <n v="117884"/>
    <n v="2550"/>
    <n v="797"/>
    <n v="910595"/>
    <n v="574386"/>
    <n v="11"/>
    <x v="1"/>
    <x v="36"/>
    <n v="25.957721149604691"/>
    <n v="158.53363417632039"/>
    <x v="1"/>
    <x v="0"/>
  </r>
  <r>
    <s v="B325"/>
    <n v="91884"/>
    <n v="407"/>
    <n v="510"/>
    <n v="593436"/>
    <n v="959804"/>
    <n v="6"/>
    <x v="2"/>
    <x v="22"/>
    <n v="5.3153976753297636"/>
    <n v="61.828873394984797"/>
    <x v="2"/>
    <x v="2"/>
  </r>
  <r>
    <s v="B326"/>
    <n v="113863"/>
    <n v="1902"/>
    <n v="617"/>
    <n v="680716"/>
    <n v="368113"/>
    <n v="8"/>
    <x v="2"/>
    <x v="27"/>
    <n v="20.045141968857308"/>
    <n v="184.92039129289111"/>
    <x v="2"/>
    <x v="2"/>
  </r>
  <r>
    <s v="B327"/>
    <n v="113087"/>
    <n v="1255"/>
    <n v="585"/>
    <n v="81683"/>
    <n v="935333"/>
    <n v="5"/>
    <x v="2"/>
    <x v="36"/>
    <n v="13.317180577785249"/>
    <n v="8.7330394629506287"/>
    <x v="2"/>
    <x v="2"/>
  </r>
  <r>
    <s v="B328"/>
    <n v="94398"/>
    <n v="1390"/>
    <n v="790"/>
    <n v="680614"/>
    <n v="577089"/>
    <n v="11"/>
    <x v="1"/>
    <x v="29"/>
    <n v="17.669865886989129"/>
    <n v="117.93917402688319"/>
    <x v="1"/>
    <x v="0"/>
  </r>
  <r>
    <s v="B329"/>
    <n v="103421"/>
    <n v="905"/>
    <n v="521"/>
    <n v="214112"/>
    <n v="820181"/>
    <n v="2"/>
    <x v="2"/>
    <x v="33"/>
    <n v="10.500768702681279"/>
    <n v="26.105457210054851"/>
    <x v="2"/>
    <x v="2"/>
  </r>
  <r>
    <s v="B330"/>
    <n v="106606"/>
    <n v="2618"/>
    <n v="517"/>
    <n v="143547"/>
    <n v="632501"/>
    <n v="6"/>
    <x v="1"/>
    <x v="6"/>
    <n v="29.469260641990129"/>
    <n v="22.69514198396524"/>
    <x v="2"/>
    <x v="2"/>
  </r>
  <r>
    <s v="B331"/>
    <n v="90294"/>
    <n v="659"/>
    <n v="767"/>
    <n v="952940"/>
    <n v="881491"/>
    <n v="4"/>
    <x v="2"/>
    <x v="14"/>
    <n v="8.7580570137550655"/>
    <n v="108.105471298062"/>
    <x v="1"/>
    <x v="0"/>
  </r>
  <r>
    <s v="B332"/>
    <n v="92229"/>
    <n v="2658"/>
    <n v="599"/>
    <n v="151581"/>
    <n v="525100"/>
    <n v="6"/>
    <x v="1"/>
    <x v="4"/>
    <n v="34.583482418762003"/>
    <n v="28.867072938487912"/>
    <x v="2"/>
    <x v="2"/>
  </r>
  <r>
    <s v="B333"/>
    <n v="107105"/>
    <n v="1099"/>
    <n v="522"/>
    <n v="643062"/>
    <n v="394930"/>
    <n v="7"/>
    <x v="1"/>
    <x v="7"/>
    <n v="12.313150646561789"/>
    <n v="162.82936216544701"/>
    <x v="2"/>
    <x v="2"/>
  </r>
  <r>
    <s v="B334"/>
    <n v="117357"/>
    <n v="753"/>
    <n v="817"/>
    <n v="617862"/>
    <n v="447670"/>
    <n v="9"/>
    <x v="2"/>
    <x v="2"/>
    <n v="7.6995833226820727"/>
    <n v="138.0172895212992"/>
    <x v="1"/>
    <x v="0"/>
  </r>
  <r>
    <s v="B335"/>
    <n v="117196"/>
    <n v="698"/>
    <n v="497"/>
    <n v="500005"/>
    <n v="851569"/>
    <n v="9"/>
    <x v="0"/>
    <x v="45"/>
    <n v="7.1470016041503106"/>
    <n v="58.715735307414903"/>
    <x v="2"/>
    <x v="2"/>
  </r>
  <r>
    <s v="B336"/>
    <n v="108569"/>
    <n v="2998"/>
    <n v="570"/>
    <n v="534378"/>
    <n v="628137"/>
    <n v="11"/>
    <x v="3"/>
    <x v="9"/>
    <n v="33.13653068555481"/>
    <n v="85.073479193233325"/>
    <x v="2"/>
    <x v="2"/>
  </r>
  <r>
    <s v="B337"/>
    <n v="99188"/>
    <n v="2668"/>
    <n v="687"/>
    <n v="495458"/>
    <n v="764723"/>
    <n v="5"/>
    <x v="2"/>
    <x v="10"/>
    <n v="32.278098157035132"/>
    <n v="64.789211256886475"/>
    <x v="0"/>
    <x v="0"/>
  </r>
  <r>
    <s v="B338"/>
    <n v="85179"/>
    <n v="2364"/>
    <n v="815"/>
    <n v="613923"/>
    <n v="637262"/>
    <n v="5"/>
    <x v="2"/>
    <x v="17"/>
    <n v="33.30398337618427"/>
    <n v="96.337613101047921"/>
    <x v="1"/>
    <x v="0"/>
  </r>
  <r>
    <s v="B339"/>
    <n v="90852"/>
    <n v="2592"/>
    <n v="640"/>
    <n v="653844"/>
    <n v="480577"/>
    <n v="4"/>
    <x v="1"/>
    <x v="39"/>
    <n v="34.235900145291239"/>
    <n v="136.05395181209249"/>
    <x v="2"/>
    <x v="2"/>
  </r>
  <r>
    <s v="B340"/>
    <n v="115626"/>
    <n v="544"/>
    <n v="619"/>
    <n v="238211"/>
    <n v="800809"/>
    <n v="2"/>
    <x v="2"/>
    <x v="15"/>
    <n v="5.6457890093923524"/>
    <n v="29.746294060131689"/>
    <x v="2"/>
    <x v="2"/>
  </r>
  <r>
    <s v="B341"/>
    <n v="88144"/>
    <n v="2037"/>
    <n v="682"/>
    <n v="997204"/>
    <n v="564947"/>
    <n v="8"/>
    <x v="1"/>
    <x v="2"/>
    <n v="27.731893265565439"/>
    <n v="176.5128410275654"/>
    <x v="0"/>
    <x v="0"/>
  </r>
  <r>
    <s v="B342"/>
    <n v="100979"/>
    <n v="1211"/>
    <n v="830"/>
    <n v="813584"/>
    <n v="718247"/>
    <n v="1"/>
    <x v="0"/>
    <x v="27"/>
    <n v="14.39111102308401"/>
    <n v="113.2735674496378"/>
    <x v="1"/>
    <x v="0"/>
  </r>
  <r>
    <s v="B343"/>
    <n v="104418"/>
    <n v="745"/>
    <n v="656"/>
    <n v="647328"/>
    <n v="832942"/>
    <n v="12"/>
    <x v="1"/>
    <x v="10"/>
    <n v="8.5617422283514344"/>
    <n v="77.715855365679715"/>
    <x v="0"/>
    <x v="0"/>
  </r>
  <r>
    <s v="B344"/>
    <n v="95300"/>
    <n v="1416"/>
    <n v="719"/>
    <n v="692583"/>
    <n v="942366"/>
    <n v="5"/>
    <x v="3"/>
    <x v="24"/>
    <n v="17.830010493179429"/>
    <n v="73.494056449405008"/>
    <x v="0"/>
    <x v="1"/>
  </r>
  <r>
    <s v="B345"/>
    <n v="115574"/>
    <n v="1397"/>
    <n v="769"/>
    <n v="355282"/>
    <n v="908152"/>
    <n v="8"/>
    <x v="1"/>
    <x v="36"/>
    <n v="14.50499247235537"/>
    <n v="39.121424607334447"/>
    <x v="1"/>
    <x v="1"/>
  </r>
  <r>
    <s v="B346"/>
    <n v="109639"/>
    <n v="592"/>
    <n v="604"/>
    <n v="51491"/>
    <n v="921767"/>
    <n v="11"/>
    <x v="3"/>
    <x v="24"/>
    <n v="6.4794461824715652"/>
    <n v="5.5861188348031554"/>
    <x v="2"/>
    <x v="2"/>
  </r>
  <r>
    <s v="B347"/>
    <n v="89400"/>
    <n v="1879"/>
    <n v="556"/>
    <n v="800389"/>
    <n v="293815"/>
    <n v="2"/>
    <x v="2"/>
    <x v="39"/>
    <n v="25.221476510067109"/>
    <n v="272.4125725371407"/>
    <x v="2"/>
    <x v="2"/>
  </r>
  <r>
    <s v="B348"/>
    <n v="111591"/>
    <n v="1718"/>
    <n v="785"/>
    <n v="676017"/>
    <n v="483237"/>
    <n v="9"/>
    <x v="3"/>
    <x v="42"/>
    <n v="18.474608167325322"/>
    <n v="139.89346842232689"/>
    <x v="1"/>
    <x v="0"/>
  </r>
  <r>
    <s v="B349"/>
    <n v="107461"/>
    <n v="469"/>
    <n v="639"/>
    <n v="112536"/>
    <n v="436144"/>
    <n v="4"/>
    <x v="3"/>
    <x v="13"/>
    <n v="5.2372488623779789"/>
    <n v="25.802487251916801"/>
    <x v="2"/>
    <x v="2"/>
  </r>
  <r>
    <s v="B350"/>
    <n v="83705"/>
    <n v="568"/>
    <n v="486"/>
    <n v="769305"/>
    <n v="638263"/>
    <n v="12"/>
    <x v="2"/>
    <x v="28"/>
    <n v="8.1428827429663695"/>
    <n v="120.5310350122128"/>
    <x v="2"/>
    <x v="2"/>
  </r>
  <r>
    <s v="B351"/>
    <n v="108943"/>
    <n v="1684"/>
    <n v="534"/>
    <n v="951373"/>
    <n v="805422"/>
    <n v="6"/>
    <x v="0"/>
    <x v="14"/>
    <n v="18.54914955527202"/>
    <n v="118.1210595191092"/>
    <x v="2"/>
    <x v="2"/>
  </r>
  <r>
    <s v="B352"/>
    <n v="110326"/>
    <n v="2808"/>
    <n v="571"/>
    <n v="257036"/>
    <n v="610789"/>
    <n v="7"/>
    <x v="2"/>
    <x v="11"/>
    <n v="30.54221126479705"/>
    <n v="42.082617728872002"/>
    <x v="2"/>
    <x v="2"/>
  </r>
  <r>
    <s v="B353"/>
    <n v="111619"/>
    <n v="1465"/>
    <n v="529"/>
    <n v="592179"/>
    <n v="336629"/>
    <n v="10"/>
    <x v="0"/>
    <x v="45"/>
    <n v="15.750006719286141"/>
    <n v="175.9144339911297"/>
    <x v="2"/>
    <x v="2"/>
  </r>
  <r>
    <s v="B354"/>
    <n v="105208"/>
    <n v="1939"/>
    <n v="731"/>
    <n v="887759"/>
    <n v="768747"/>
    <n v="1"/>
    <x v="2"/>
    <x v="8"/>
    <n v="22.116188882974679"/>
    <n v="115.48129618717211"/>
    <x v="0"/>
    <x v="0"/>
  </r>
  <r>
    <s v="B355"/>
    <n v="106809"/>
    <n v="2745"/>
    <n v="613"/>
    <n v="940768"/>
    <n v="936787"/>
    <n v="3"/>
    <x v="3"/>
    <x v="34"/>
    <n v="30.840097744572091"/>
    <n v="100.424963198678"/>
    <x v="2"/>
    <x v="2"/>
  </r>
  <r>
    <s v="B356"/>
    <n v="79314"/>
    <n v="2777"/>
    <n v="591"/>
    <n v="250719"/>
    <n v="308264"/>
    <n v="8"/>
    <x v="0"/>
    <x v="15"/>
    <n v="42.01528103487405"/>
    <n v="81.332559105182568"/>
    <x v="2"/>
    <x v="2"/>
  </r>
  <r>
    <s v="B357"/>
    <n v="80597"/>
    <n v="732"/>
    <n v="567"/>
    <n v="75148"/>
    <n v="868094"/>
    <n v="6"/>
    <x v="1"/>
    <x v="48"/>
    <n v="10.89866868493865"/>
    <n v="8.6566662135667336"/>
    <x v="2"/>
    <x v="2"/>
  </r>
  <r>
    <s v="B358"/>
    <n v="111707"/>
    <n v="1684"/>
    <n v="809"/>
    <n v="705751"/>
    <n v="348921"/>
    <n v="5"/>
    <x v="2"/>
    <x v="38"/>
    <n v="18.090182352045979"/>
    <n v="202.2667022047971"/>
    <x v="1"/>
    <x v="0"/>
  </r>
  <r>
    <s v="B359"/>
    <n v="114577"/>
    <n v="1722"/>
    <n v="724"/>
    <n v="789035"/>
    <n v="930746"/>
    <n v="6"/>
    <x v="0"/>
    <x v="0"/>
    <n v="18.035033209108281"/>
    <n v="84.774471230604263"/>
    <x v="0"/>
    <x v="0"/>
  </r>
  <r>
    <s v="B360"/>
    <n v="101963"/>
    <n v="323"/>
    <n v="528"/>
    <n v="65498"/>
    <n v="770297"/>
    <n v="9"/>
    <x v="2"/>
    <x v="10"/>
    <n v="3.8013789315732178"/>
    <n v="8.5029540553838316"/>
    <x v="2"/>
    <x v="2"/>
  </r>
  <r>
    <s v="B361"/>
    <n v="78601"/>
    <n v="513"/>
    <n v="476"/>
    <n v="544559"/>
    <n v="588151"/>
    <n v="8"/>
    <x v="0"/>
    <x v="29"/>
    <n v="7.8319614254271572"/>
    <n v="92.588297903089511"/>
    <x v="2"/>
    <x v="2"/>
  </r>
  <r>
    <s v="B362"/>
    <n v="81667"/>
    <n v="2247"/>
    <n v="713"/>
    <n v="302075"/>
    <n v="563528"/>
    <n v="7"/>
    <x v="2"/>
    <x v="23"/>
    <n v="33.017008093844517"/>
    <n v="53.604257463693017"/>
    <x v="0"/>
    <x v="1"/>
  </r>
  <r>
    <s v="B363"/>
    <n v="73851"/>
    <n v="685"/>
    <n v="792"/>
    <n v="728150"/>
    <n v="825872"/>
    <n v="3"/>
    <x v="0"/>
    <x v="15"/>
    <n v="11.1305195596539"/>
    <n v="88.167415773872946"/>
    <x v="1"/>
    <x v="0"/>
  </r>
  <r>
    <s v="B364"/>
    <n v="101002"/>
    <n v="2780"/>
    <n v="791"/>
    <n v="856849"/>
    <n v="277720"/>
    <n v="11"/>
    <x v="2"/>
    <x v="22"/>
    <n v="33.029048929724162"/>
    <n v="308.52981420135387"/>
    <x v="1"/>
    <x v="0"/>
  </r>
  <r>
    <s v="B365"/>
    <n v="74463"/>
    <n v="1079"/>
    <n v="545"/>
    <n v="487349"/>
    <n v="794619"/>
    <n v="10"/>
    <x v="1"/>
    <x v="27"/>
    <n v="17.388501671971319"/>
    <n v="61.331153672388908"/>
    <x v="2"/>
    <x v="2"/>
  </r>
  <r>
    <s v="B366"/>
    <n v="86610"/>
    <n v="2215"/>
    <n v="755"/>
    <n v="925098"/>
    <n v="979056"/>
    <n v="8"/>
    <x v="3"/>
    <x v="22"/>
    <n v="30.68929684793903"/>
    <n v="94.488772858753734"/>
    <x v="1"/>
    <x v="0"/>
  </r>
  <r>
    <s v="B367"/>
    <n v="90445"/>
    <n v="2459"/>
    <n v="667"/>
    <n v="257124"/>
    <n v="830018"/>
    <n v="11"/>
    <x v="2"/>
    <x v="14"/>
    <n v="32.625352424125161"/>
    <n v="30.978123365999291"/>
    <x v="0"/>
    <x v="0"/>
  </r>
  <r>
    <s v="B368"/>
    <n v="82748"/>
    <n v="2474"/>
    <n v="812"/>
    <n v="333058"/>
    <n v="483739"/>
    <n v="3"/>
    <x v="2"/>
    <x v="15"/>
    <n v="35.877604292550878"/>
    <n v="68.850764565189081"/>
    <x v="1"/>
    <x v="1"/>
  </r>
  <r>
    <s v="B369"/>
    <n v="103781"/>
    <n v="2146"/>
    <n v="737"/>
    <n v="413455"/>
    <n v="708359"/>
    <n v="4"/>
    <x v="0"/>
    <x v="34"/>
    <n v="24.813790578236869"/>
    <n v="58.368002665315188"/>
    <x v="0"/>
    <x v="1"/>
  </r>
  <r>
    <s v="B370"/>
    <n v="92819"/>
    <n v="2062"/>
    <n v="514"/>
    <n v="904333"/>
    <n v="916466"/>
    <n v="9"/>
    <x v="3"/>
    <x v="31"/>
    <n v="26.658335039162239"/>
    <n v="98.676110188484898"/>
    <x v="2"/>
    <x v="2"/>
  </r>
  <r>
    <s v="B371"/>
    <n v="79519"/>
    <n v="1890"/>
    <n v="477"/>
    <n v="387242"/>
    <n v="926590"/>
    <n v="4"/>
    <x v="1"/>
    <x v="26"/>
    <n v="28.521485431154819"/>
    <n v="41.792162660939567"/>
    <x v="2"/>
    <x v="2"/>
  </r>
  <r>
    <s v="B372"/>
    <n v="74716"/>
    <n v="1087"/>
    <n v="541"/>
    <n v="440573"/>
    <n v="411636"/>
    <n v="7"/>
    <x v="1"/>
    <x v="33"/>
    <n v="17.458108035762091"/>
    <n v="107.02975444324601"/>
    <x v="2"/>
    <x v="2"/>
  </r>
  <r>
    <s v="B373"/>
    <n v="96975"/>
    <n v="1003"/>
    <n v="742"/>
    <n v="522618"/>
    <n v="973073"/>
    <n v="6"/>
    <x v="0"/>
    <x v="35"/>
    <n v="12.41144624903326"/>
    <n v="53.707995186383748"/>
    <x v="0"/>
    <x v="1"/>
  </r>
  <r>
    <s v="B374"/>
    <n v="99876"/>
    <n v="2386"/>
    <n v="719"/>
    <n v="447497"/>
    <n v="655116"/>
    <n v="8"/>
    <x v="2"/>
    <x v="18"/>
    <n v="28.667547759221431"/>
    <n v="68.308055367293733"/>
    <x v="0"/>
    <x v="1"/>
  </r>
  <r>
    <s v="B375"/>
    <n v="110703"/>
    <n v="840"/>
    <n v="505"/>
    <n v="937179"/>
    <n v="243902"/>
    <n v="11"/>
    <x v="3"/>
    <x v="9"/>
    <n v="9.1054442969025242"/>
    <n v="384.24408163934697"/>
    <x v="2"/>
    <x v="2"/>
  </r>
  <r>
    <s v="B376"/>
    <n v="115844"/>
    <n v="2435"/>
    <n v="549"/>
    <n v="790957"/>
    <n v="429846"/>
    <n v="10"/>
    <x v="3"/>
    <x v="26"/>
    <n v="25.223576533959459"/>
    <n v="184.00938940923029"/>
    <x v="2"/>
    <x v="2"/>
  </r>
  <r>
    <s v="B377"/>
    <n v="77456"/>
    <n v="1491"/>
    <n v="634"/>
    <n v="747847"/>
    <n v="743142"/>
    <n v="6"/>
    <x v="1"/>
    <x v="16"/>
    <n v="23.099566205329481"/>
    <n v="100.6331226064467"/>
    <x v="2"/>
    <x v="2"/>
  </r>
  <r>
    <s v="B378"/>
    <n v="73560"/>
    <n v="2080"/>
    <n v="752"/>
    <n v="319001"/>
    <n v="463171"/>
    <n v="7"/>
    <x v="1"/>
    <x v="14"/>
    <n v="33.931484502446978"/>
    <n v="68.873267108692033"/>
    <x v="1"/>
    <x v="1"/>
  </r>
  <r>
    <s v="B379"/>
    <n v="93774"/>
    <n v="2832"/>
    <n v="804"/>
    <n v="630352"/>
    <n v="847683"/>
    <n v="9"/>
    <x v="0"/>
    <x v="38"/>
    <n v="36.240322477445773"/>
    <n v="74.361760233483508"/>
    <x v="1"/>
    <x v="1"/>
  </r>
  <r>
    <s v="B380"/>
    <n v="72273"/>
    <n v="2256"/>
    <n v="468"/>
    <n v="373547"/>
    <n v="745234"/>
    <n v="3"/>
    <x v="1"/>
    <x v="28"/>
    <n v="37.457971856709968"/>
    <n v="50.124793018031923"/>
    <x v="2"/>
    <x v="2"/>
  </r>
  <r>
    <s v="B381"/>
    <n v="107766"/>
    <n v="2377"/>
    <n v="774"/>
    <n v="52687"/>
    <n v="497324"/>
    <n v="4"/>
    <x v="2"/>
    <x v="19"/>
    <n v="26.468459439897561"/>
    <n v="10.594099621172511"/>
    <x v="1"/>
    <x v="1"/>
  </r>
  <r>
    <s v="B382"/>
    <n v="115154"/>
    <n v="2850"/>
    <n v="824"/>
    <n v="795489"/>
    <n v="922766"/>
    <n v="5"/>
    <x v="3"/>
    <x v="14"/>
    <n v="29.699359119092691"/>
    <n v="86.207012395341835"/>
    <x v="1"/>
    <x v="0"/>
  </r>
  <r>
    <s v="B383"/>
    <n v="110874"/>
    <n v="639"/>
    <n v="742"/>
    <n v="636256"/>
    <n v="252469"/>
    <n v="10"/>
    <x v="0"/>
    <x v="26"/>
    <n v="6.9159586557714174"/>
    <n v="252.01351453049679"/>
    <x v="0"/>
    <x v="0"/>
  </r>
  <r>
    <s v="B384"/>
    <n v="84301"/>
    <n v="699"/>
    <n v="455"/>
    <n v="991991"/>
    <n v="360445"/>
    <n v="8"/>
    <x v="2"/>
    <x v="38"/>
    <n v="9.9500599043902209"/>
    <n v="275.21286187906622"/>
    <x v="2"/>
    <x v="2"/>
  </r>
  <r>
    <s v="B385"/>
    <n v="92913"/>
    <n v="1432"/>
    <n v="626"/>
    <n v="633158"/>
    <n v="420384"/>
    <n v="1"/>
    <x v="1"/>
    <x v="16"/>
    <n v="18.49472086790869"/>
    <n v="150.61420035015601"/>
    <x v="2"/>
    <x v="2"/>
  </r>
  <r>
    <s v="B386"/>
    <n v="98256"/>
    <n v="1279"/>
    <n v="850"/>
    <n v="386794"/>
    <n v="686703"/>
    <n v="7"/>
    <x v="0"/>
    <x v="23"/>
    <n v="15.620420127015141"/>
    <n v="56.326242931806043"/>
    <x v="1"/>
    <x v="1"/>
  </r>
  <r>
    <s v="B387"/>
    <n v="103950"/>
    <n v="2670"/>
    <n v="480"/>
    <n v="844599"/>
    <n v="394689"/>
    <n v="12"/>
    <x v="2"/>
    <x v="39"/>
    <n v="30.822510822510829"/>
    <n v="213.99101571110421"/>
    <x v="2"/>
    <x v="2"/>
  </r>
  <r>
    <s v="B388"/>
    <n v="102004"/>
    <n v="470"/>
    <n v="679"/>
    <n v="313595"/>
    <n v="704020"/>
    <n v="7"/>
    <x v="2"/>
    <x v="3"/>
    <n v="5.5291949335320183"/>
    <n v="44.543478878440951"/>
    <x v="0"/>
    <x v="0"/>
  </r>
  <r>
    <s v="B389"/>
    <n v="99477"/>
    <n v="1265"/>
    <n v="792"/>
    <n v="245950"/>
    <n v="259591"/>
    <n v="8"/>
    <x v="3"/>
    <x v="32"/>
    <n v="15.25980880002413"/>
    <n v="94.745195326494368"/>
    <x v="1"/>
    <x v="0"/>
  </r>
  <r>
    <s v="B390"/>
    <n v="107015"/>
    <n v="2156"/>
    <n v="552"/>
    <n v="793989"/>
    <n v="887961"/>
    <n v="6"/>
    <x v="1"/>
    <x v="30"/>
    <n v="24.176050086436479"/>
    <n v="89.417102778162544"/>
    <x v="2"/>
    <x v="2"/>
  </r>
  <r>
    <s v="B391"/>
    <n v="103345"/>
    <n v="506"/>
    <n v="772"/>
    <n v="206404"/>
    <n v="433890"/>
    <n v="8"/>
    <x v="0"/>
    <x v="39"/>
    <n v="5.8754656732304413"/>
    <n v="47.570582405678863"/>
    <x v="1"/>
    <x v="1"/>
  </r>
  <r>
    <s v="B392"/>
    <n v="92688"/>
    <n v="868"/>
    <n v="686"/>
    <n v="701638"/>
    <n v="963537"/>
    <n v="9"/>
    <x v="3"/>
    <x v="37"/>
    <n v="11.23770067322631"/>
    <n v="72.818999166612173"/>
    <x v="0"/>
    <x v="0"/>
  </r>
  <r>
    <s v="B393"/>
    <n v="105460"/>
    <n v="1881"/>
    <n v="462"/>
    <n v="184607"/>
    <n v="755444"/>
    <n v="3"/>
    <x v="0"/>
    <x v="10"/>
    <n v="21.40337568746444"/>
    <n v="24.43688744632296"/>
    <x v="2"/>
    <x v="2"/>
  </r>
  <r>
    <s v="B394"/>
    <n v="107286"/>
    <n v="857"/>
    <n v="750"/>
    <n v="286320"/>
    <n v="508591"/>
    <n v="10"/>
    <x v="1"/>
    <x v="48"/>
    <n v="9.5855936468877587"/>
    <n v="56.296709929983038"/>
    <x v="1"/>
    <x v="1"/>
  </r>
  <r>
    <s v="B395"/>
    <n v="100297"/>
    <n v="533"/>
    <n v="822"/>
    <n v="526044"/>
    <n v="771906"/>
    <n v="4"/>
    <x v="2"/>
    <x v="1"/>
    <n v="6.3770601314097144"/>
    <n v="68.148712407987503"/>
    <x v="1"/>
    <x v="1"/>
  </r>
  <r>
    <s v="B396"/>
    <n v="82008"/>
    <n v="844"/>
    <n v="729"/>
    <n v="511031"/>
    <n v="888164"/>
    <n v="8"/>
    <x v="3"/>
    <x v="43"/>
    <n v="12.350014632718761"/>
    <n v="57.53790966533208"/>
    <x v="0"/>
    <x v="1"/>
  </r>
  <r>
    <s v="B397"/>
    <n v="74836"/>
    <n v="578"/>
    <n v="744"/>
    <n v="966079"/>
    <n v="423234"/>
    <n v="4"/>
    <x v="3"/>
    <x v="43"/>
    <n v="9.268266609653109"/>
    <n v="228.2611982969232"/>
    <x v="0"/>
    <x v="0"/>
  </r>
  <r>
    <s v="B398"/>
    <n v="87478"/>
    <n v="1814"/>
    <n v="653"/>
    <n v="499228"/>
    <n v="594553"/>
    <n v="8"/>
    <x v="2"/>
    <x v="9"/>
    <n v="24.88397082695078"/>
    <n v="83.966946596855124"/>
    <x v="0"/>
    <x v="0"/>
  </r>
  <r>
    <s v="B399"/>
    <n v="104160"/>
    <n v="1870"/>
    <n v="606"/>
    <n v="353034"/>
    <n v="266856"/>
    <n v="10"/>
    <x v="1"/>
    <x v="9"/>
    <n v="21.54377880184332"/>
    <n v="132.29382138681541"/>
    <x v="2"/>
    <x v="2"/>
  </r>
  <r>
    <s v="B400"/>
    <n v="106670"/>
    <n v="1731"/>
    <n v="625"/>
    <n v="544285"/>
    <n v="903801"/>
    <n v="4"/>
    <x v="1"/>
    <x v="3"/>
    <n v="19.473141464329242"/>
    <n v="60.221774483542291"/>
    <x v="2"/>
    <x v="2"/>
  </r>
  <r>
    <s v="B401"/>
    <n v="79616"/>
    <n v="1521"/>
    <n v="772"/>
    <n v="740482"/>
    <n v="399979"/>
    <n v="6"/>
    <x v="2"/>
    <x v="3"/>
    <n v="22.925040192926041"/>
    <n v="185.13021933651521"/>
    <x v="1"/>
    <x v="0"/>
  </r>
  <r>
    <s v="B402"/>
    <n v="83897"/>
    <n v="1994"/>
    <n v="747"/>
    <n v="830865"/>
    <n v="667191"/>
    <n v="10"/>
    <x v="2"/>
    <x v="11"/>
    <n v="28.520686079359219"/>
    <n v="124.5318057347896"/>
    <x v="0"/>
    <x v="0"/>
  </r>
  <r>
    <s v="B403"/>
    <n v="94892"/>
    <n v="2391"/>
    <n v="556"/>
    <n v="374984"/>
    <n v="970377"/>
    <n v="12"/>
    <x v="2"/>
    <x v="12"/>
    <n v="30.236479366016098"/>
    <n v="38.643125300785158"/>
    <x v="2"/>
    <x v="2"/>
  </r>
  <r>
    <s v="B404"/>
    <n v="86803"/>
    <n v="2981"/>
    <n v="673"/>
    <n v="497304"/>
    <n v="381735"/>
    <n v="2"/>
    <x v="3"/>
    <x v="44"/>
    <n v="41.210557238805109"/>
    <n v="130.27466698102091"/>
    <x v="0"/>
    <x v="0"/>
  </r>
  <r>
    <s v="B405"/>
    <n v="114453"/>
    <n v="1930"/>
    <n v="578"/>
    <n v="954735"/>
    <n v="963725"/>
    <n v="6"/>
    <x v="0"/>
    <x v="24"/>
    <n v="20.235380461848969"/>
    <n v="99.067161275260062"/>
    <x v="2"/>
    <x v="2"/>
  </r>
  <r>
    <s v="B406"/>
    <n v="82307"/>
    <n v="1429"/>
    <n v="799"/>
    <n v="495473"/>
    <n v="578298"/>
    <n v="9"/>
    <x v="2"/>
    <x v="46"/>
    <n v="20.834193932472331"/>
    <n v="85.6777993352908"/>
    <x v="1"/>
    <x v="0"/>
  </r>
  <r>
    <s v="B407"/>
    <n v="78302"/>
    <n v="1086"/>
    <n v="504"/>
    <n v="816202"/>
    <n v="980856"/>
    <n v="12"/>
    <x v="2"/>
    <x v="23"/>
    <n v="16.643253045899211"/>
    <n v="83.213234154656746"/>
    <x v="2"/>
    <x v="2"/>
  </r>
  <r>
    <s v="B408"/>
    <n v="74976"/>
    <n v="1245"/>
    <n v="732"/>
    <n v="202465"/>
    <n v="452426"/>
    <n v="8"/>
    <x v="3"/>
    <x v="19"/>
    <n v="19.926376440460949"/>
    <n v="44.750964798663198"/>
    <x v="0"/>
    <x v="1"/>
  </r>
  <r>
    <s v="B409"/>
    <n v="94750"/>
    <n v="2875"/>
    <n v="509"/>
    <n v="607975"/>
    <n v="220780"/>
    <n v="10"/>
    <x v="0"/>
    <x v="6"/>
    <n v="36.41160949868074"/>
    <n v="275.37593984962399"/>
    <x v="2"/>
    <x v="2"/>
  </r>
  <r>
    <s v="B410"/>
    <n v="72915"/>
    <n v="1883"/>
    <n v="674"/>
    <n v="289606"/>
    <n v="794579"/>
    <n v="7"/>
    <x v="2"/>
    <x v="24"/>
    <n v="30.98950833161901"/>
    <n v="36.447728923115257"/>
    <x v="0"/>
    <x v="0"/>
  </r>
  <r>
    <s v="B411"/>
    <n v="84336"/>
    <n v="1219"/>
    <n v="702"/>
    <n v="512970"/>
    <n v="835167"/>
    <n v="9"/>
    <x v="0"/>
    <x v="26"/>
    <n v="17.34490608992601"/>
    <n v="61.421248684394861"/>
    <x v="0"/>
    <x v="1"/>
  </r>
  <r>
    <s v="B412"/>
    <n v="109953"/>
    <n v="1973"/>
    <n v="542"/>
    <n v="261556"/>
    <n v="882990"/>
    <n v="8"/>
    <x v="2"/>
    <x v="5"/>
    <n v="21.532836757523668"/>
    <n v="29.621626518986631"/>
    <x v="2"/>
    <x v="2"/>
  </r>
  <r>
    <s v="B413"/>
    <n v="88853"/>
    <n v="2764"/>
    <n v="524"/>
    <n v="888619"/>
    <n v="993302"/>
    <n v="7"/>
    <x v="3"/>
    <x v="7"/>
    <n v="37.329071612663611"/>
    <n v="89.461110518251246"/>
    <x v="2"/>
    <x v="2"/>
  </r>
  <r>
    <s v="B414"/>
    <n v="97948"/>
    <n v="2009"/>
    <n v="767"/>
    <n v="96622"/>
    <n v="451790"/>
    <n v="6"/>
    <x v="1"/>
    <x v="23"/>
    <n v="24.613059991015639"/>
    <n v="21.38648487128976"/>
    <x v="1"/>
    <x v="1"/>
  </r>
  <r>
    <s v="B415"/>
    <n v="87152"/>
    <n v="620"/>
    <n v="618"/>
    <n v="922717"/>
    <n v="535605"/>
    <n v="10"/>
    <x v="0"/>
    <x v="19"/>
    <n v="8.5368092527997064"/>
    <n v="172.2756508994502"/>
    <x v="2"/>
    <x v="2"/>
  </r>
  <r>
    <s v="B416"/>
    <n v="85255"/>
    <n v="1266"/>
    <n v="708"/>
    <n v="505242"/>
    <n v="562441"/>
    <n v="4"/>
    <x v="3"/>
    <x v="20"/>
    <n v="17.819482728285731"/>
    <n v="89.830222192194384"/>
    <x v="0"/>
    <x v="0"/>
  </r>
  <r>
    <s v="B417"/>
    <n v="91445"/>
    <n v="921"/>
    <n v="658"/>
    <n v="916626"/>
    <n v="744009"/>
    <n v="11"/>
    <x v="2"/>
    <x v="0"/>
    <n v="12.085953305265461"/>
    <n v="123.2009290210199"/>
    <x v="0"/>
    <x v="0"/>
  </r>
  <r>
    <s v="B418"/>
    <n v="89590"/>
    <n v="905"/>
    <n v="805"/>
    <n v="871495"/>
    <n v="387397"/>
    <n v="12"/>
    <x v="3"/>
    <x v="28"/>
    <n v="12.1218886036388"/>
    <n v="224.96173176353969"/>
    <x v="1"/>
    <x v="0"/>
  </r>
  <r>
    <s v="B419"/>
    <n v="96018"/>
    <n v="2036"/>
    <n v="657"/>
    <n v="780361"/>
    <n v="910878"/>
    <n v="12"/>
    <x v="0"/>
    <x v="30"/>
    <n v="25.44522901955883"/>
    <n v="85.671297363642552"/>
    <x v="0"/>
    <x v="0"/>
  </r>
  <r>
    <s v="B420"/>
    <n v="88473"/>
    <n v="2720"/>
    <n v="575"/>
    <n v="963921"/>
    <n v="444068"/>
    <n v="11"/>
    <x v="0"/>
    <x v="21"/>
    <n v="36.892611305143937"/>
    <n v="217.0660799697344"/>
    <x v="2"/>
    <x v="2"/>
  </r>
  <r>
    <s v="B421"/>
    <n v="85061"/>
    <n v="1144"/>
    <n v="659"/>
    <n v="673556"/>
    <n v="770191"/>
    <n v="2"/>
    <x v="1"/>
    <x v="15"/>
    <n v="16.139006125016159"/>
    <n v="87.453112279940953"/>
    <x v="0"/>
    <x v="0"/>
  </r>
  <r>
    <s v="B422"/>
    <n v="102256"/>
    <n v="2478"/>
    <n v="721"/>
    <n v="511009"/>
    <n v="555120"/>
    <n v="5"/>
    <x v="3"/>
    <x v="22"/>
    <n v="29.079956188389922"/>
    <n v="92.053790171494455"/>
    <x v="0"/>
    <x v="0"/>
  </r>
  <r>
    <s v="B423"/>
    <n v="87066"/>
    <n v="362"/>
    <n v="615"/>
    <n v="966984"/>
    <n v="228524"/>
    <n v="1"/>
    <x v="2"/>
    <x v="28"/>
    <n v="4.9893184480738748"/>
    <n v="423.14330223521381"/>
    <x v="2"/>
    <x v="2"/>
  </r>
  <r>
    <s v="B424"/>
    <n v="87474"/>
    <n v="2625"/>
    <n v="683"/>
    <n v="766617"/>
    <n v="535720"/>
    <n v="4"/>
    <x v="3"/>
    <x v="18"/>
    <n v="36.010700322381503"/>
    <n v="143.10031359665501"/>
    <x v="0"/>
    <x v="0"/>
  </r>
  <r>
    <s v="B425"/>
    <n v="118381"/>
    <n v="2250"/>
    <n v="759"/>
    <n v="306453"/>
    <n v="423266"/>
    <n v="5"/>
    <x v="3"/>
    <x v="33"/>
    <n v="22.807714075738499"/>
    <n v="72.401988347752962"/>
    <x v="1"/>
    <x v="1"/>
  </r>
  <r>
    <s v="B426"/>
    <n v="99887"/>
    <n v="369"/>
    <n v="538"/>
    <n v="909057"/>
    <n v="721042"/>
    <n v="8"/>
    <x v="2"/>
    <x v="27"/>
    <n v="4.4330093005095756"/>
    <n v="126.0754574629495"/>
    <x v="2"/>
    <x v="2"/>
  </r>
  <r>
    <s v="B427"/>
    <n v="72979"/>
    <n v="388"/>
    <n v="651"/>
    <n v="400054"/>
    <n v="603444"/>
    <n v="11"/>
    <x v="3"/>
    <x v="24"/>
    <n v="6.3799175105167247"/>
    <n v="66.295132605511029"/>
    <x v="0"/>
    <x v="0"/>
  </r>
  <r>
    <s v="B428"/>
    <n v="114061"/>
    <n v="1989"/>
    <n v="758"/>
    <n v="472367"/>
    <n v="722135"/>
    <n v="9"/>
    <x v="0"/>
    <x v="4"/>
    <n v="20.92564504957873"/>
    <n v="65.412561363180004"/>
    <x v="1"/>
    <x v="1"/>
  </r>
  <r>
    <s v="B429"/>
    <n v="112119"/>
    <n v="1455"/>
    <n v="655"/>
    <n v="843878"/>
    <n v="634971"/>
    <n v="10"/>
    <x v="3"/>
    <x v="39"/>
    <n v="15.57273967837744"/>
    <n v="132.9002426882488"/>
    <x v="0"/>
    <x v="0"/>
  </r>
  <r>
    <s v="B430"/>
    <n v="89972"/>
    <n v="699"/>
    <n v="651"/>
    <n v="879992"/>
    <n v="840072"/>
    <n v="12"/>
    <x v="3"/>
    <x v="47"/>
    <n v="9.322900457920241"/>
    <n v="104.75197364035461"/>
    <x v="0"/>
    <x v="0"/>
  </r>
  <r>
    <s v="B431"/>
    <n v="98995"/>
    <n v="1903"/>
    <n v="752"/>
    <n v="761144"/>
    <n v="217467"/>
    <n v="7"/>
    <x v="1"/>
    <x v="19"/>
    <n v="23.067831708672159"/>
    <n v="350.00436847889563"/>
    <x v="1"/>
    <x v="0"/>
  </r>
  <r>
    <s v="B432"/>
    <n v="74055"/>
    <n v="543"/>
    <n v="656"/>
    <n v="237595"/>
    <n v="748279"/>
    <n v="2"/>
    <x v="3"/>
    <x v="31"/>
    <n v="8.7988657079197896"/>
    <n v="31.752194034578011"/>
    <x v="0"/>
    <x v="0"/>
  </r>
  <r>
    <s v="B433"/>
    <n v="117265"/>
    <n v="1326"/>
    <n v="678"/>
    <n v="876954"/>
    <n v="922813"/>
    <n v="11"/>
    <x v="0"/>
    <x v="0"/>
    <n v="13.569266191958381"/>
    <n v="95.030520809741517"/>
    <x v="0"/>
    <x v="0"/>
  </r>
  <r>
    <s v="B434"/>
    <n v="118945"/>
    <n v="2922"/>
    <n v="842"/>
    <n v="556828"/>
    <n v="294158"/>
    <n v="3"/>
    <x v="1"/>
    <x v="32"/>
    <n v="29.47917104544117"/>
    <n v="189.2955486507251"/>
    <x v="1"/>
    <x v="0"/>
  </r>
  <r>
    <s v="B435"/>
    <n v="76039"/>
    <n v="1308"/>
    <n v="781"/>
    <n v="396712"/>
    <n v="236256"/>
    <n v="12"/>
    <x v="0"/>
    <x v="27"/>
    <n v="20.642038953694819"/>
    <n v="167.91615874305839"/>
    <x v="1"/>
    <x v="0"/>
  </r>
  <r>
    <s v="B436"/>
    <n v="89170"/>
    <n v="2159"/>
    <n v="459"/>
    <n v="550558"/>
    <n v="992338"/>
    <n v="1"/>
    <x v="3"/>
    <x v="0"/>
    <n v="29.054614780755859"/>
    <n v="55.480894614536581"/>
    <x v="2"/>
    <x v="2"/>
  </r>
  <r>
    <s v="B437"/>
    <n v="81626"/>
    <n v="2904"/>
    <n v="561"/>
    <n v="557972"/>
    <n v="317002"/>
    <n v="3"/>
    <x v="0"/>
    <x v="7"/>
    <n v="42.692279420772792"/>
    <n v="176.01529327890671"/>
    <x v="2"/>
    <x v="2"/>
  </r>
  <r>
    <s v="B438"/>
    <n v="114150"/>
    <n v="353"/>
    <n v="686"/>
    <n v="282867"/>
    <n v="947947"/>
    <n v="3"/>
    <x v="3"/>
    <x v="33"/>
    <n v="3.7109067017082791"/>
    <n v="29.839959407013261"/>
    <x v="0"/>
    <x v="0"/>
  </r>
  <r>
    <s v="B439"/>
    <n v="114457"/>
    <n v="2472"/>
    <n v="547"/>
    <n v="321750"/>
    <n v="888383"/>
    <n v="3"/>
    <x v="0"/>
    <x v="38"/>
    <n v="25.917156661453649"/>
    <n v="36.217487277446772"/>
    <x v="2"/>
    <x v="2"/>
  </r>
  <r>
    <s v="B440"/>
    <n v="86633"/>
    <n v="319"/>
    <n v="594"/>
    <n v="332621"/>
    <n v="442575"/>
    <n v="9"/>
    <x v="2"/>
    <x v="37"/>
    <n v="4.4186395484399714"/>
    <n v="75.155849291080614"/>
    <x v="2"/>
    <x v="2"/>
  </r>
  <r>
    <s v="B441"/>
    <n v="83783"/>
    <n v="1900"/>
    <n v="542"/>
    <n v="703134"/>
    <n v="691585"/>
    <n v="10"/>
    <x v="3"/>
    <x v="13"/>
    <n v="27.213157800508451"/>
    <n v="101.6699321124663"/>
    <x v="2"/>
    <x v="2"/>
  </r>
  <r>
    <s v="B442"/>
    <n v="113756"/>
    <n v="1237"/>
    <n v="628"/>
    <n v="172987"/>
    <n v="774883"/>
    <n v="6"/>
    <x v="0"/>
    <x v="41"/>
    <n v="13.04898203171701"/>
    <n v="22.324273470962709"/>
    <x v="2"/>
    <x v="2"/>
  </r>
  <r>
    <s v="B443"/>
    <n v="99600"/>
    <n v="545"/>
    <n v="562"/>
    <n v="738105"/>
    <n v="789892"/>
    <n v="2"/>
    <x v="2"/>
    <x v="1"/>
    <n v="6.5662650602409638"/>
    <n v="93.443787251928114"/>
    <x v="2"/>
    <x v="2"/>
  </r>
  <r>
    <s v="B444"/>
    <n v="105009"/>
    <n v="1461"/>
    <n v="844"/>
    <n v="257975"/>
    <n v="790772"/>
    <n v="8"/>
    <x v="1"/>
    <x v="20"/>
    <n v="16.695711796131761"/>
    <n v="32.623183420758451"/>
    <x v="1"/>
    <x v="1"/>
  </r>
  <r>
    <s v="B445"/>
    <n v="75217"/>
    <n v="1002"/>
    <n v="568"/>
    <n v="740356"/>
    <n v="581589"/>
    <n v="7"/>
    <x v="1"/>
    <x v="8"/>
    <n v="15.985747902734751"/>
    <n v="127.29883130526881"/>
    <x v="2"/>
    <x v="2"/>
  </r>
  <r>
    <s v="B446"/>
    <n v="118860"/>
    <n v="1301"/>
    <n v="602"/>
    <n v="482311"/>
    <n v="247587"/>
    <n v="12"/>
    <x v="0"/>
    <x v="5"/>
    <n v="13.13478041393236"/>
    <n v="194.80465452547989"/>
    <x v="2"/>
    <x v="2"/>
  </r>
  <r>
    <s v="B447"/>
    <n v="84100"/>
    <n v="2266"/>
    <n v="740"/>
    <n v="299982"/>
    <n v="848870"/>
    <n v="4"/>
    <x v="0"/>
    <x v="32"/>
    <n v="32.33293697978597"/>
    <n v="35.338980055838938"/>
    <x v="0"/>
    <x v="1"/>
  </r>
  <r>
    <s v="B448"/>
    <n v="97956"/>
    <n v="2256"/>
    <n v="842"/>
    <n v="971932"/>
    <n v="985938"/>
    <n v="5"/>
    <x v="0"/>
    <x v="44"/>
    <n v="27.636898199191471"/>
    <n v="98.579423858295343"/>
    <x v="1"/>
    <x v="0"/>
  </r>
  <r>
    <s v="B449"/>
    <n v="89495"/>
    <n v="1887"/>
    <n v="509"/>
    <n v="611905"/>
    <n v="850958"/>
    <n v="9"/>
    <x v="3"/>
    <x v="35"/>
    <n v="25.301972177216602"/>
    <n v="71.907779232347551"/>
    <x v="2"/>
    <x v="2"/>
  </r>
  <r>
    <s v="B450"/>
    <n v="92407"/>
    <n v="1866"/>
    <n v="722"/>
    <n v="584304"/>
    <n v="683431"/>
    <n v="4"/>
    <x v="1"/>
    <x v="35"/>
    <n v="24.231930481457031"/>
    <n v="85.495682812163921"/>
    <x v="0"/>
    <x v="0"/>
  </r>
  <r>
    <s v="B451"/>
    <n v="89663"/>
    <n v="2699"/>
    <n v="814"/>
    <n v="216856"/>
    <n v="658868"/>
    <n v="1"/>
    <x v="0"/>
    <x v="1"/>
    <n v="36.121923201320499"/>
    <n v="32.913421201211783"/>
    <x v="1"/>
    <x v="1"/>
  </r>
  <r>
    <s v="B452"/>
    <n v="109067"/>
    <n v="2944"/>
    <n v="560"/>
    <n v="625321"/>
    <n v="672983"/>
    <n v="9"/>
    <x v="3"/>
    <x v="8"/>
    <n v="32.391099049208293"/>
    <n v="92.91780030104772"/>
    <x v="2"/>
    <x v="2"/>
  </r>
  <r>
    <s v="B453"/>
    <n v="116435"/>
    <n v="900"/>
    <n v="536"/>
    <n v="338110"/>
    <n v="580111"/>
    <n v="11"/>
    <x v="1"/>
    <x v="2"/>
    <n v="9.2755614720659594"/>
    <n v="58.283673297006963"/>
    <x v="2"/>
    <x v="2"/>
  </r>
  <r>
    <s v="B454"/>
    <n v="107020"/>
    <n v="2995"/>
    <n v="626"/>
    <n v="422792"/>
    <n v="616123"/>
    <n v="9"/>
    <x v="0"/>
    <x v="45"/>
    <n v="33.582507942440657"/>
    <n v="68.621362942139797"/>
    <x v="2"/>
    <x v="2"/>
  </r>
  <r>
    <s v="B455"/>
    <n v="85128"/>
    <n v="1167"/>
    <n v="505"/>
    <n v="719817"/>
    <n v="248688"/>
    <n v="8"/>
    <x v="1"/>
    <x v="1"/>
    <n v="16.45052156752185"/>
    <n v="289.4458116193785"/>
    <x v="2"/>
    <x v="2"/>
  </r>
  <r>
    <s v="B456"/>
    <n v="82751"/>
    <n v="2713"/>
    <n v="802"/>
    <n v="337764"/>
    <n v="667228"/>
    <n v="6"/>
    <x v="3"/>
    <x v="35"/>
    <n v="39.342122753803579"/>
    <n v="50.621976295958802"/>
    <x v="1"/>
    <x v="1"/>
  </r>
  <r>
    <s v="B457"/>
    <n v="106512"/>
    <n v="660"/>
    <n v="740"/>
    <n v="660235"/>
    <n v="970391"/>
    <n v="7"/>
    <x v="1"/>
    <x v="18"/>
    <n v="7.4357818837314102"/>
    <n v="68.038038275293161"/>
    <x v="0"/>
    <x v="1"/>
  </r>
  <r>
    <s v="B458"/>
    <n v="80245"/>
    <n v="1045"/>
    <n v="805"/>
    <n v="106496"/>
    <n v="628544"/>
    <n v="1"/>
    <x v="1"/>
    <x v="47"/>
    <n v="15.62714187799863"/>
    <n v="16.94328479788209"/>
    <x v="1"/>
    <x v="1"/>
  </r>
  <r>
    <s v="B459"/>
    <n v="114734"/>
    <n v="716"/>
    <n v="769"/>
    <n v="140269"/>
    <n v="629314"/>
    <n v="7"/>
    <x v="3"/>
    <x v="44"/>
    <n v="7.488625865044364"/>
    <n v="22.28919108743807"/>
    <x v="1"/>
    <x v="1"/>
  </r>
  <r>
    <s v="B460"/>
    <n v="94401"/>
    <n v="1113"/>
    <n v="472"/>
    <n v="602869"/>
    <n v="495661"/>
    <n v="1"/>
    <x v="1"/>
    <x v="24"/>
    <n v="14.14815521022023"/>
    <n v="121.6292990572185"/>
    <x v="2"/>
    <x v="2"/>
  </r>
  <r>
    <s v="B461"/>
    <n v="93221"/>
    <n v="2122"/>
    <n v="837"/>
    <n v="364587"/>
    <n v="380893"/>
    <n v="4"/>
    <x v="0"/>
    <x v="3"/>
    <n v="27.315733579343711"/>
    <n v="95.719007700325292"/>
    <x v="1"/>
    <x v="0"/>
  </r>
  <r>
    <s v="B462"/>
    <n v="109849"/>
    <n v="2749"/>
    <n v="568"/>
    <n v="701238"/>
    <n v="572312"/>
    <n v="10"/>
    <x v="2"/>
    <x v="22"/>
    <n v="30.030314340594821"/>
    <n v="122.52722291337589"/>
    <x v="2"/>
    <x v="2"/>
  </r>
  <r>
    <s v="B463"/>
    <n v="84390"/>
    <n v="2514"/>
    <n v="707"/>
    <n v="981579"/>
    <n v="527119"/>
    <n v="7"/>
    <x v="3"/>
    <x v="40"/>
    <n v="35.748311411304662"/>
    <n v="186.2158260278988"/>
    <x v="0"/>
    <x v="0"/>
  </r>
  <r>
    <s v="B464"/>
    <n v="100094"/>
    <n v="1790"/>
    <n v="702"/>
    <n v="711756"/>
    <n v="898318"/>
    <n v="11"/>
    <x v="3"/>
    <x v="2"/>
    <n v="21.45982776190381"/>
    <n v="79.232075946379794"/>
    <x v="0"/>
    <x v="1"/>
  </r>
  <r>
    <s v="B465"/>
    <n v="82137"/>
    <n v="687"/>
    <n v="466"/>
    <n v="361271"/>
    <n v="609669"/>
    <n v="1"/>
    <x v="3"/>
    <x v="40"/>
    <n v="10.03688958690968"/>
    <n v="59.256908256775397"/>
    <x v="2"/>
    <x v="2"/>
  </r>
  <r>
    <s v="B466"/>
    <n v="88984"/>
    <n v="660"/>
    <n v="807"/>
    <n v="700069"/>
    <n v="925346"/>
    <n v="4"/>
    <x v="1"/>
    <x v="41"/>
    <n v="8.9004764901555351"/>
    <n v="75.654836136969308"/>
    <x v="1"/>
    <x v="1"/>
  </r>
  <r>
    <s v="B467"/>
    <n v="101389"/>
    <n v="2606"/>
    <n v="651"/>
    <n v="817473"/>
    <n v="940032"/>
    <n v="2"/>
    <x v="0"/>
    <x v="11"/>
    <n v="30.84358263716971"/>
    <n v="86.962252348856211"/>
    <x v="0"/>
    <x v="0"/>
  </r>
  <r>
    <s v="B468"/>
    <n v="81595"/>
    <n v="2279"/>
    <n v="752"/>
    <n v="516775"/>
    <n v="712500"/>
    <n v="12"/>
    <x v="1"/>
    <x v="20"/>
    <n v="33.51675960536798"/>
    <n v="72.529824561403515"/>
    <x v="1"/>
    <x v="1"/>
  </r>
  <r>
    <s v="B469"/>
    <n v="105083"/>
    <n v="998"/>
    <n v="658"/>
    <n v="982865"/>
    <n v="386206"/>
    <n v="4"/>
    <x v="2"/>
    <x v="23"/>
    <n v="11.396705461397181"/>
    <n v="254.49242114312051"/>
    <x v="0"/>
    <x v="0"/>
  </r>
  <r>
    <s v="B470"/>
    <n v="77765"/>
    <n v="904"/>
    <n v="495"/>
    <n v="312919"/>
    <n v="673929"/>
    <n v="2"/>
    <x v="1"/>
    <x v="40"/>
    <n v="13.94972031119398"/>
    <n v="46.432042544541041"/>
    <x v="2"/>
    <x v="2"/>
  </r>
  <r>
    <s v="B471"/>
    <n v="75926"/>
    <n v="1037"/>
    <n v="652"/>
    <n v="802253"/>
    <n v="297212"/>
    <n v="3"/>
    <x v="0"/>
    <x v="34"/>
    <n v="16.389642546690201"/>
    <n v="269.92618063873601"/>
    <x v="0"/>
    <x v="0"/>
  </r>
  <r>
    <s v="B472"/>
    <n v="105018"/>
    <n v="2448"/>
    <n v="753"/>
    <n v="986166"/>
    <n v="406813"/>
    <n v="12"/>
    <x v="0"/>
    <x v="47"/>
    <n v="27.972347597554698"/>
    <n v="242.4126072667294"/>
    <x v="1"/>
    <x v="0"/>
  </r>
  <r>
    <s v="B473"/>
    <n v="89866"/>
    <n v="828"/>
    <n v="605"/>
    <n v="411354"/>
    <n v="468777"/>
    <n v="5"/>
    <x v="2"/>
    <x v="41"/>
    <n v="11.05646184318875"/>
    <n v="87.750465573182993"/>
    <x v="2"/>
    <x v="2"/>
  </r>
  <r>
    <s v="B474"/>
    <n v="74148"/>
    <n v="1138"/>
    <n v="644"/>
    <n v="493606"/>
    <n v="670521"/>
    <n v="1"/>
    <x v="2"/>
    <x v="33"/>
    <n v="18.417219614824411"/>
    <n v="73.615293182465578"/>
    <x v="2"/>
    <x v="2"/>
  </r>
  <r>
    <s v="B475"/>
    <n v="117769"/>
    <n v="882"/>
    <n v="568"/>
    <n v="131481"/>
    <n v="263080"/>
    <n v="10"/>
    <x v="3"/>
    <x v="3"/>
    <n v="8.9870848865151256"/>
    <n v="49.977573361715073"/>
    <x v="2"/>
    <x v="2"/>
  </r>
  <r>
    <s v="B476"/>
    <n v="111037"/>
    <n v="498"/>
    <n v="679"/>
    <n v="644393"/>
    <n v="868502"/>
    <n v="12"/>
    <x v="1"/>
    <x v="24"/>
    <n v="5.3819897871880542"/>
    <n v="74.195914344468989"/>
    <x v="0"/>
    <x v="0"/>
  </r>
  <r>
    <s v="B477"/>
    <n v="102895"/>
    <n v="985"/>
    <n v="642"/>
    <n v="817721"/>
    <n v="216381"/>
    <n v="7"/>
    <x v="3"/>
    <x v="4"/>
    <n v="11.48743865105204"/>
    <n v="377.90794940406039"/>
    <x v="2"/>
    <x v="2"/>
  </r>
  <r>
    <s v="B478"/>
    <n v="106419"/>
    <n v="834"/>
    <n v="537"/>
    <n v="444963"/>
    <n v="564826"/>
    <n v="9"/>
    <x v="2"/>
    <x v="1"/>
    <n v="9.4043356919347101"/>
    <n v="78.778774348206355"/>
    <x v="2"/>
    <x v="2"/>
  </r>
  <r>
    <s v="B479"/>
    <n v="95387"/>
    <n v="1460"/>
    <n v="839"/>
    <n v="149934"/>
    <n v="511389"/>
    <n v="1"/>
    <x v="3"/>
    <x v="6"/>
    <n v="18.367282753415029"/>
    <n v="29.31897244563336"/>
    <x v="1"/>
    <x v="1"/>
  </r>
  <r>
    <s v="B480"/>
    <n v="103695"/>
    <n v="2366"/>
    <n v="455"/>
    <n v="620162"/>
    <n v="319532"/>
    <n v="1"/>
    <x v="2"/>
    <x v="5"/>
    <n v="27.380297989295531"/>
    <n v="194.084473542556"/>
    <x v="2"/>
    <x v="2"/>
  </r>
  <r>
    <s v="B481"/>
    <n v="77467"/>
    <n v="1686"/>
    <n v="620"/>
    <n v="569209"/>
    <n v="581342"/>
    <n v="10"/>
    <x v="3"/>
    <x v="19"/>
    <n v="26.116927207714252"/>
    <n v="97.91293249068535"/>
    <x v="2"/>
    <x v="2"/>
  </r>
  <r>
    <s v="B482"/>
    <n v="80990"/>
    <n v="2792"/>
    <n v="834"/>
    <n v="71379"/>
    <n v="356512"/>
    <n v="12"/>
    <x v="3"/>
    <x v="2"/>
    <n v="41.368070132115079"/>
    <n v="20.021485952787"/>
    <x v="1"/>
    <x v="1"/>
  </r>
  <r>
    <s v="B483"/>
    <n v="72085"/>
    <n v="2136"/>
    <n v="658"/>
    <n v="448429"/>
    <n v="809725"/>
    <n v="12"/>
    <x v="2"/>
    <x v="13"/>
    <n v="35.558021779843237"/>
    <n v="55.380406928278113"/>
    <x v="0"/>
    <x v="0"/>
  </r>
  <r>
    <s v="B484"/>
    <n v="113855"/>
    <n v="1901"/>
    <n v="481"/>
    <n v="909933"/>
    <n v="348242"/>
    <n v="1"/>
    <x v="3"/>
    <x v="15"/>
    <n v="20.0360107153836"/>
    <n v="261.29329604125871"/>
    <x v="2"/>
    <x v="2"/>
  </r>
  <r>
    <s v="B485"/>
    <n v="100356"/>
    <n v="596"/>
    <n v="793"/>
    <n v="570046"/>
    <n v="980220"/>
    <n v="3"/>
    <x v="2"/>
    <x v="25"/>
    <n v="7.1266292000478293"/>
    <n v="58.154904001142597"/>
    <x v="1"/>
    <x v="1"/>
  </r>
  <r>
    <s v="B486"/>
    <n v="112617"/>
    <n v="2463"/>
    <n v="589"/>
    <n v="601027"/>
    <n v="844670"/>
    <n v="2"/>
    <x v="3"/>
    <x v="7"/>
    <n v="26.24470550627348"/>
    <n v="71.155244059810343"/>
    <x v="2"/>
    <x v="2"/>
  </r>
  <r>
    <s v="B487"/>
    <n v="105292"/>
    <n v="2841"/>
    <n v="676"/>
    <n v="331368"/>
    <n v="790390"/>
    <n v="4"/>
    <x v="1"/>
    <x v="28"/>
    <n v="32.378528283250382"/>
    <n v="41.924619491643369"/>
    <x v="0"/>
    <x v="0"/>
  </r>
  <r>
    <s v="B488"/>
    <n v="78551"/>
    <n v="1076"/>
    <n v="768"/>
    <n v="929683"/>
    <n v="773622"/>
    <n v="6"/>
    <x v="3"/>
    <x v="37"/>
    <n v="16.437728354826799"/>
    <n v="120.17277171538549"/>
    <x v="1"/>
    <x v="0"/>
  </r>
  <r>
    <s v="B489"/>
    <n v="97530"/>
    <n v="655"/>
    <n v="630"/>
    <n v="127560"/>
    <n v="523426"/>
    <n v="7"/>
    <x v="0"/>
    <x v="25"/>
    <n v="8.0590587511534917"/>
    <n v="24.370207058877469"/>
    <x v="2"/>
    <x v="2"/>
  </r>
  <r>
    <s v="B490"/>
    <n v="77121"/>
    <n v="691"/>
    <n v="625"/>
    <n v="663113"/>
    <n v="875886"/>
    <n v="2"/>
    <x v="1"/>
    <x v="14"/>
    <n v="10.751935270548881"/>
    <n v="75.707683419988442"/>
    <x v="2"/>
    <x v="2"/>
  </r>
  <r>
    <s v="B491"/>
    <n v="110087"/>
    <n v="1905"/>
    <n v="526"/>
    <n v="592646"/>
    <n v="432294"/>
    <n v="3"/>
    <x v="3"/>
    <x v="31"/>
    <n v="20.765394642419182"/>
    <n v="137.09327448449429"/>
    <x v="2"/>
    <x v="2"/>
  </r>
  <r>
    <s v="B492"/>
    <n v="106668"/>
    <n v="2759"/>
    <n v="522"/>
    <n v="764028"/>
    <n v="752152"/>
    <n v="7"/>
    <x v="1"/>
    <x v="33"/>
    <n v="31.03836202047475"/>
    <n v="101.57893617247581"/>
    <x v="2"/>
    <x v="2"/>
  </r>
  <r>
    <s v="B493"/>
    <n v="94841"/>
    <n v="1083"/>
    <n v="548"/>
    <n v="148745"/>
    <n v="469175"/>
    <n v="2"/>
    <x v="2"/>
    <x v="13"/>
    <n v="13.70293438491791"/>
    <n v="31.70352213992647"/>
    <x v="2"/>
    <x v="2"/>
  </r>
  <r>
    <s v="B494"/>
    <n v="83284"/>
    <n v="2998"/>
    <n v="551"/>
    <n v="519818"/>
    <n v="563621"/>
    <n v="8"/>
    <x v="1"/>
    <x v="27"/>
    <n v="43.196772489313673"/>
    <n v="92.228288158177222"/>
    <x v="2"/>
    <x v="2"/>
  </r>
  <r>
    <s v="B495"/>
    <n v="98007"/>
    <n v="2341"/>
    <n v="709"/>
    <n v="171357"/>
    <n v="492366"/>
    <n v="8"/>
    <x v="1"/>
    <x v="13"/>
    <n v="28.663258746824209"/>
    <n v="34.802768672085399"/>
    <x v="0"/>
    <x v="1"/>
  </r>
  <r>
    <s v="B496"/>
    <n v="98721"/>
    <n v="2466"/>
    <n v="816"/>
    <n v="927880"/>
    <n v="962946"/>
    <n v="6"/>
    <x v="0"/>
    <x v="6"/>
    <n v="29.975385176406238"/>
    <n v="96.358466622219723"/>
    <x v="1"/>
    <x v="0"/>
  </r>
  <r>
    <s v="B497"/>
    <n v="83849"/>
    <n v="2651"/>
    <n v="792"/>
    <n v="764998"/>
    <n v="708960"/>
    <n v="9"/>
    <x v="3"/>
    <x v="17"/>
    <n v="37.939629572207181"/>
    <n v="107.9042541187091"/>
    <x v="1"/>
    <x v="0"/>
  </r>
  <r>
    <s v="B498"/>
    <n v="118303"/>
    <n v="362"/>
    <n v="670"/>
    <n v="739518"/>
    <n v="554393"/>
    <n v="12"/>
    <x v="3"/>
    <x v="30"/>
    <n v="3.671927170063312"/>
    <n v="133.3923768878756"/>
    <x v="0"/>
    <x v="0"/>
  </r>
  <r>
    <s v="B499"/>
    <n v="113305"/>
    <n v="1720"/>
    <n v="679"/>
    <n v="730911"/>
    <n v="254507"/>
    <n v="7"/>
    <x v="3"/>
    <x v="24"/>
    <n v="18.21631878557875"/>
    <n v="287.18699289214049"/>
    <x v="0"/>
    <x v="0"/>
  </r>
  <r>
    <s v="B500"/>
    <n v="114575"/>
    <n v="395"/>
    <n v="596"/>
    <n v="545724"/>
    <n v="306151"/>
    <n v="10"/>
    <x v="2"/>
    <x v="16"/>
    <n v="4.1370281475016366"/>
    <n v="178.25321491682209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4:E8" firstHeaderRow="1" firstDataRow="2" firstDataCol="1" rowPageCount="2" colPageCount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4">
        <item x="3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0">
        <item x="1"/>
        <item x="28"/>
        <item x="25"/>
        <item h="1" x="32"/>
        <item x="31"/>
        <item h="1" x="45"/>
        <item h="1" x="11"/>
        <item h="1" x="27"/>
        <item h="1" x="41"/>
        <item h="1" x="8"/>
        <item h="1" x="30"/>
        <item h="1" x="47"/>
        <item h="1" x="17"/>
        <item h="1" x="34"/>
        <item h="1" x="23"/>
        <item h="1" x="42"/>
        <item h="1" x="33"/>
        <item h="1" x="2"/>
        <item h="1" x="22"/>
        <item h="1" x="12"/>
        <item h="1" x="9"/>
        <item h="1" x="5"/>
        <item h="1" x="14"/>
        <item h="1" x="19"/>
        <item h="1" x="21"/>
        <item h="1" x="40"/>
        <item h="1" x="16"/>
        <item h="1" x="24"/>
        <item h="1" x="39"/>
        <item h="1" x="6"/>
        <item h="1" x="29"/>
        <item h="1" x="43"/>
        <item h="1" x="26"/>
        <item h="1" x="35"/>
        <item h="1" x="44"/>
        <item h="1" x="48"/>
        <item h="1" x="49"/>
        <item h="1" x="46"/>
        <item h="1" x="7"/>
        <item h="1" x="20"/>
        <item h="1" x="13"/>
        <item h="1" x="36"/>
        <item h="1" x="37"/>
        <item h="1" x="10"/>
        <item h="1" x="3"/>
        <item h="1" x="15"/>
        <item h="1" x="0"/>
        <item h="1" x="4"/>
        <item h="1" x="18"/>
        <item h="1"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2"/>
  </rowFields>
  <rowItems count="3">
    <i>
      <x/>
    </i>
    <i>
      <x v="1"/>
    </i>
    <i>
      <x v="2"/>
    </i>
  </rowItems>
  <colFields count="1">
    <field x="7"/>
  </colFields>
  <colItems count="4">
    <i>
      <x/>
    </i>
    <i>
      <x v="1"/>
    </i>
    <i>
      <x v="2"/>
    </i>
    <i>
      <x v="3"/>
    </i>
  </colItems>
  <pageFields count="2">
    <pageField fld="11" hier="-1"/>
    <pageField fld="8" hier="-1"/>
  </pageFields>
  <dataFields count="1">
    <dataField name="Count of Loan_Decision" fld="12" subtotal="count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inkedin.com/in/msashank3010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4"/>
  <sheetViews>
    <sheetView showGridLines="0" topLeftCell="F372" workbookViewId="0">
      <selection activeCell="J403" sqref="J403"/>
    </sheetView>
  </sheetViews>
  <sheetFormatPr defaultRowHeight="14.4" x14ac:dyDescent="0.3"/>
  <cols>
    <col min="1" max="12" width="18.77734375" customWidth="1"/>
    <col min="13" max="13" width="18.77734375" style="11" customWidth="1"/>
  </cols>
  <sheetData>
    <row r="1" spans="1:14" ht="15.6" thickTop="1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3" t="s">
        <v>12</v>
      </c>
      <c r="N1" s="11"/>
    </row>
    <row r="2" spans="1:14" ht="15" thickTop="1" x14ac:dyDescent="0.3">
      <c r="A2" s="18" t="s">
        <v>13</v>
      </c>
      <c r="B2" s="19">
        <v>114932</v>
      </c>
      <c r="C2" s="19">
        <v>1530</v>
      </c>
      <c r="D2" s="19">
        <v>661</v>
      </c>
      <c r="E2" s="19">
        <v>448917</v>
      </c>
      <c r="F2" s="19">
        <v>579185</v>
      </c>
      <c r="G2" s="19">
        <v>4</v>
      </c>
      <c r="H2" s="19" t="s">
        <v>14</v>
      </c>
      <c r="I2" s="19" t="s">
        <v>15</v>
      </c>
      <c r="J2" s="19">
        <v>15.974663279156401</v>
      </c>
      <c r="K2" s="19">
        <v>77.508395417699006</v>
      </c>
      <c r="L2" s="19" t="s">
        <v>16</v>
      </c>
      <c r="M2" s="14" t="s">
        <v>17</v>
      </c>
      <c r="N2" s="11"/>
    </row>
    <row r="3" spans="1:14" x14ac:dyDescent="0.3">
      <c r="A3" s="20" t="s">
        <v>18</v>
      </c>
      <c r="B3" s="21">
        <v>91103</v>
      </c>
      <c r="C3" s="21">
        <v>1146</v>
      </c>
      <c r="D3" s="21">
        <v>726</v>
      </c>
      <c r="E3" s="21">
        <v>293094</v>
      </c>
      <c r="F3" s="21">
        <v>965781</v>
      </c>
      <c r="G3" s="21">
        <v>4</v>
      </c>
      <c r="H3" s="21" t="s">
        <v>19</v>
      </c>
      <c r="I3" s="21" t="s">
        <v>20</v>
      </c>
      <c r="J3" s="21">
        <v>15.095002359966189</v>
      </c>
      <c r="K3" s="21">
        <v>30.347873896877239</v>
      </c>
      <c r="L3" s="21" t="s">
        <v>16</v>
      </c>
      <c r="M3" s="12" t="s">
        <v>21</v>
      </c>
      <c r="N3" s="11">
        <f>COUNTIF(M2:M401,"Approved")</f>
        <v>76</v>
      </c>
    </row>
    <row r="4" spans="1:14" x14ac:dyDescent="0.3">
      <c r="A4" s="20" t="s">
        <v>22</v>
      </c>
      <c r="B4" s="21">
        <v>100527</v>
      </c>
      <c r="C4" s="21">
        <v>1778</v>
      </c>
      <c r="D4" s="21">
        <v>801</v>
      </c>
      <c r="E4" s="21">
        <v>102526</v>
      </c>
      <c r="F4" s="21">
        <v>516364</v>
      </c>
      <c r="G4" s="21">
        <v>12</v>
      </c>
      <c r="H4" s="21" t="s">
        <v>14</v>
      </c>
      <c r="I4" s="21" t="s">
        <v>23</v>
      </c>
      <c r="J4" s="21">
        <v>21.22414873616043</v>
      </c>
      <c r="K4" s="21">
        <v>19.855373341286381</v>
      </c>
      <c r="L4" s="21" t="s">
        <v>24</v>
      </c>
      <c r="M4" s="12" t="s">
        <v>21</v>
      </c>
      <c r="N4" s="11"/>
    </row>
    <row r="5" spans="1:14" x14ac:dyDescent="0.3">
      <c r="A5" s="20" t="s">
        <v>25</v>
      </c>
      <c r="B5" s="21">
        <v>77101</v>
      </c>
      <c r="C5" s="21">
        <v>1821</v>
      </c>
      <c r="D5" s="21">
        <v>495</v>
      </c>
      <c r="E5" s="21">
        <v>567594</v>
      </c>
      <c r="F5" s="21">
        <v>542874</v>
      </c>
      <c r="G5" s="21">
        <v>6</v>
      </c>
      <c r="H5" s="21" t="s">
        <v>19</v>
      </c>
      <c r="I5" s="21" t="s">
        <v>26</v>
      </c>
      <c r="J5" s="21">
        <v>28.342044850261349</v>
      </c>
      <c r="K5" s="21">
        <v>104.55354281103899</v>
      </c>
      <c r="L5" s="21" t="s">
        <v>27</v>
      </c>
      <c r="M5" s="12" t="s">
        <v>28</v>
      </c>
      <c r="N5" s="11"/>
    </row>
    <row r="6" spans="1:14" x14ac:dyDescent="0.3">
      <c r="A6" s="20" t="s">
        <v>29</v>
      </c>
      <c r="B6" s="21">
        <v>73943</v>
      </c>
      <c r="C6" s="21">
        <v>343</v>
      </c>
      <c r="D6" s="21">
        <v>503</v>
      </c>
      <c r="E6" s="21">
        <v>638113</v>
      </c>
      <c r="F6" s="21">
        <v>262525</v>
      </c>
      <c r="G6" s="21">
        <v>5</v>
      </c>
      <c r="H6" s="21" t="s">
        <v>14</v>
      </c>
      <c r="I6" s="21" t="s">
        <v>30</v>
      </c>
      <c r="J6" s="21">
        <v>5.5664498329794574</v>
      </c>
      <c r="K6" s="21">
        <v>243.06751737929719</v>
      </c>
      <c r="L6" s="21" t="s">
        <v>27</v>
      </c>
      <c r="M6" s="12" t="s">
        <v>28</v>
      </c>
      <c r="N6" s="11"/>
    </row>
    <row r="7" spans="1:14" x14ac:dyDescent="0.3">
      <c r="A7" s="20" t="s">
        <v>31</v>
      </c>
      <c r="B7" s="21">
        <v>74774</v>
      </c>
      <c r="C7" s="21">
        <v>2190</v>
      </c>
      <c r="D7" s="21">
        <v>612</v>
      </c>
      <c r="E7" s="21">
        <v>201777</v>
      </c>
      <c r="F7" s="21">
        <v>789701</v>
      </c>
      <c r="G7" s="21">
        <v>6</v>
      </c>
      <c r="H7" s="21" t="s">
        <v>32</v>
      </c>
      <c r="I7" s="21" t="s">
        <v>33</v>
      </c>
      <c r="J7" s="21">
        <v>35.145906331077647</v>
      </c>
      <c r="K7" s="21">
        <v>25.551062997260988</v>
      </c>
      <c r="L7" s="21" t="s">
        <v>27</v>
      </c>
      <c r="M7" s="12" t="s">
        <v>28</v>
      </c>
      <c r="N7" s="11"/>
    </row>
    <row r="8" spans="1:14" x14ac:dyDescent="0.3">
      <c r="A8" s="20" t="s">
        <v>34</v>
      </c>
      <c r="B8" s="21">
        <v>98282</v>
      </c>
      <c r="C8" s="21">
        <v>2748</v>
      </c>
      <c r="D8" s="21">
        <v>782</v>
      </c>
      <c r="E8" s="21">
        <v>478008</v>
      </c>
      <c r="F8" s="21">
        <v>834571</v>
      </c>
      <c r="G8" s="21">
        <v>11</v>
      </c>
      <c r="H8" s="21" t="s">
        <v>19</v>
      </c>
      <c r="I8" s="21" t="s">
        <v>35</v>
      </c>
      <c r="J8" s="21">
        <v>33.552430760464787</v>
      </c>
      <c r="K8" s="21">
        <v>57.275893842465173</v>
      </c>
      <c r="L8" s="21" t="s">
        <v>24</v>
      </c>
      <c r="M8" s="12" t="s">
        <v>21</v>
      </c>
      <c r="N8" s="11"/>
    </row>
    <row r="9" spans="1:14" x14ac:dyDescent="0.3">
      <c r="A9" s="20" t="s">
        <v>36</v>
      </c>
      <c r="B9" s="21">
        <v>111708</v>
      </c>
      <c r="C9" s="21">
        <v>672</v>
      </c>
      <c r="D9" s="21">
        <v>762</v>
      </c>
      <c r="E9" s="21">
        <v>787576</v>
      </c>
      <c r="F9" s="21">
        <v>569618</v>
      </c>
      <c r="G9" s="21">
        <v>6</v>
      </c>
      <c r="H9" s="21" t="s">
        <v>32</v>
      </c>
      <c r="I9" s="21" t="s">
        <v>37</v>
      </c>
      <c r="J9" s="21">
        <v>7.21882049629391</v>
      </c>
      <c r="K9" s="21">
        <v>138.263889132717</v>
      </c>
      <c r="L9" s="21" t="s">
        <v>24</v>
      </c>
      <c r="M9" s="12" t="s">
        <v>17</v>
      </c>
      <c r="N9" s="11"/>
    </row>
    <row r="10" spans="1:14" x14ac:dyDescent="0.3">
      <c r="A10" s="20" t="s">
        <v>38</v>
      </c>
      <c r="B10" s="21">
        <v>100426</v>
      </c>
      <c r="C10" s="21">
        <v>2608</v>
      </c>
      <c r="D10" s="21">
        <v>585</v>
      </c>
      <c r="E10" s="21">
        <v>899044</v>
      </c>
      <c r="F10" s="21">
        <v>348653</v>
      </c>
      <c r="G10" s="21">
        <v>7</v>
      </c>
      <c r="H10" s="21" t="s">
        <v>14</v>
      </c>
      <c r="I10" s="21" t="s">
        <v>39</v>
      </c>
      <c r="J10" s="21">
        <v>31.163244578097309</v>
      </c>
      <c r="K10" s="21">
        <v>257.86211505422301</v>
      </c>
      <c r="L10" s="21" t="s">
        <v>27</v>
      </c>
      <c r="M10" s="12" t="s">
        <v>28</v>
      </c>
      <c r="N10" s="11"/>
    </row>
    <row r="11" spans="1:14" x14ac:dyDescent="0.3">
      <c r="A11" s="20" t="s">
        <v>40</v>
      </c>
      <c r="B11" s="21">
        <v>101671</v>
      </c>
      <c r="C11" s="21">
        <v>2389</v>
      </c>
      <c r="D11" s="21">
        <v>811</v>
      </c>
      <c r="E11" s="21">
        <v>868160</v>
      </c>
      <c r="F11" s="21">
        <v>252958</v>
      </c>
      <c r="G11" s="21">
        <v>3</v>
      </c>
      <c r="H11" s="21" t="s">
        <v>19</v>
      </c>
      <c r="I11" s="21" t="s">
        <v>41</v>
      </c>
      <c r="J11" s="21">
        <v>28.19683095474619</v>
      </c>
      <c r="K11" s="21">
        <v>343.20321950679562</v>
      </c>
      <c r="L11" s="21" t="s">
        <v>24</v>
      </c>
      <c r="M11" s="12" t="s">
        <v>17</v>
      </c>
      <c r="N11" s="11"/>
    </row>
    <row r="12" spans="1:14" x14ac:dyDescent="0.3">
      <c r="A12" s="20" t="s">
        <v>42</v>
      </c>
      <c r="B12" s="21">
        <v>95482</v>
      </c>
      <c r="C12" s="21">
        <v>2622</v>
      </c>
      <c r="D12" s="21">
        <v>668</v>
      </c>
      <c r="E12" s="21">
        <v>770763</v>
      </c>
      <c r="F12" s="21">
        <v>399765</v>
      </c>
      <c r="G12" s="21">
        <v>8</v>
      </c>
      <c r="H12" s="21" t="s">
        <v>32</v>
      </c>
      <c r="I12" s="21" t="s">
        <v>43</v>
      </c>
      <c r="J12" s="21">
        <v>32.952807859072912</v>
      </c>
      <c r="K12" s="21">
        <v>192.8040223631383</v>
      </c>
      <c r="L12" s="21" t="s">
        <v>16</v>
      </c>
      <c r="M12" s="12" t="s">
        <v>17</v>
      </c>
      <c r="N12" s="11"/>
    </row>
    <row r="13" spans="1:14" x14ac:dyDescent="0.3">
      <c r="A13" s="20" t="s">
        <v>44</v>
      </c>
      <c r="B13" s="21">
        <v>99217</v>
      </c>
      <c r="C13" s="21">
        <v>2086</v>
      </c>
      <c r="D13" s="21">
        <v>551</v>
      </c>
      <c r="E13" s="21">
        <v>510865</v>
      </c>
      <c r="F13" s="21">
        <v>507332</v>
      </c>
      <c r="G13" s="21">
        <v>12</v>
      </c>
      <c r="H13" s="21" t="s">
        <v>45</v>
      </c>
      <c r="I13" s="21" t="s">
        <v>46</v>
      </c>
      <c r="J13" s="21">
        <v>25.22954735579588</v>
      </c>
      <c r="K13" s="21">
        <v>100.6963881639636</v>
      </c>
      <c r="L13" s="21" t="s">
        <v>27</v>
      </c>
      <c r="M13" s="12" t="s">
        <v>28</v>
      </c>
      <c r="N13" s="11"/>
    </row>
    <row r="14" spans="1:14" x14ac:dyDescent="0.3">
      <c r="A14" s="20" t="s">
        <v>47</v>
      </c>
      <c r="B14" s="21">
        <v>82333</v>
      </c>
      <c r="C14" s="21">
        <v>2404</v>
      </c>
      <c r="D14" s="21">
        <v>592</v>
      </c>
      <c r="E14" s="21">
        <v>358713</v>
      </c>
      <c r="F14" s="21">
        <v>685159</v>
      </c>
      <c r="G14" s="21">
        <v>3</v>
      </c>
      <c r="H14" s="21" t="s">
        <v>14</v>
      </c>
      <c r="I14" s="21" t="s">
        <v>35</v>
      </c>
      <c r="J14" s="21">
        <v>35.038198535216743</v>
      </c>
      <c r="K14" s="21">
        <v>52.354708906983639</v>
      </c>
      <c r="L14" s="21" t="s">
        <v>27</v>
      </c>
      <c r="M14" s="12" t="s">
        <v>28</v>
      </c>
      <c r="N14" s="11"/>
    </row>
    <row r="15" spans="1:14" x14ac:dyDescent="0.3">
      <c r="A15" s="20" t="s">
        <v>48</v>
      </c>
      <c r="B15" s="21">
        <v>89206</v>
      </c>
      <c r="C15" s="21">
        <v>643</v>
      </c>
      <c r="D15" s="21">
        <v>503</v>
      </c>
      <c r="E15" s="21">
        <v>905228</v>
      </c>
      <c r="F15" s="21">
        <v>741450</v>
      </c>
      <c r="G15" s="21">
        <v>5</v>
      </c>
      <c r="H15" s="21" t="s">
        <v>14</v>
      </c>
      <c r="I15" s="21" t="s">
        <v>49</v>
      </c>
      <c r="J15" s="21">
        <v>8.6496424007353774</v>
      </c>
      <c r="K15" s="21">
        <v>122.0888798974981</v>
      </c>
      <c r="L15" s="21" t="s">
        <v>27</v>
      </c>
      <c r="M15" s="12" t="s">
        <v>28</v>
      </c>
      <c r="N15" s="11"/>
    </row>
    <row r="16" spans="1:14" x14ac:dyDescent="0.3">
      <c r="A16" s="20" t="s">
        <v>50</v>
      </c>
      <c r="B16" s="21">
        <v>89234</v>
      </c>
      <c r="C16" s="21">
        <v>1848</v>
      </c>
      <c r="D16" s="21">
        <v>592</v>
      </c>
      <c r="E16" s="21">
        <v>591864</v>
      </c>
      <c r="F16" s="21">
        <v>840400</v>
      </c>
      <c r="G16" s="21">
        <v>5</v>
      </c>
      <c r="H16" s="21" t="s">
        <v>14</v>
      </c>
      <c r="I16" s="21" t="s">
        <v>51</v>
      </c>
      <c r="J16" s="21">
        <v>24.851513996907009</v>
      </c>
      <c r="K16" s="21">
        <v>70.426463588767248</v>
      </c>
      <c r="L16" s="21" t="s">
        <v>27</v>
      </c>
      <c r="M16" s="12" t="s">
        <v>28</v>
      </c>
      <c r="N16" s="11"/>
    </row>
    <row r="17" spans="1:14" x14ac:dyDescent="0.3">
      <c r="A17" s="20" t="s">
        <v>52</v>
      </c>
      <c r="B17" s="21">
        <v>114533</v>
      </c>
      <c r="C17" s="21">
        <v>2665</v>
      </c>
      <c r="D17" s="21">
        <v>470</v>
      </c>
      <c r="E17" s="21">
        <v>547191</v>
      </c>
      <c r="F17" s="21">
        <v>631685</v>
      </c>
      <c r="G17" s="21">
        <v>5</v>
      </c>
      <c r="H17" s="21" t="s">
        <v>45</v>
      </c>
      <c r="I17" s="21" t="s">
        <v>53</v>
      </c>
      <c r="J17" s="21">
        <v>27.922083591628621</v>
      </c>
      <c r="K17" s="21">
        <v>86.624029381732981</v>
      </c>
      <c r="L17" s="21" t="s">
        <v>27</v>
      </c>
      <c r="M17" s="12" t="s">
        <v>28</v>
      </c>
      <c r="N17" s="11"/>
    </row>
    <row r="18" spans="1:14" x14ac:dyDescent="0.3">
      <c r="A18" s="20" t="s">
        <v>54</v>
      </c>
      <c r="B18" s="21">
        <v>116815</v>
      </c>
      <c r="C18" s="21">
        <v>1823</v>
      </c>
      <c r="D18" s="21">
        <v>586</v>
      </c>
      <c r="E18" s="21">
        <v>355009</v>
      </c>
      <c r="F18" s="21">
        <v>704393</v>
      </c>
      <c r="G18" s="21">
        <v>11</v>
      </c>
      <c r="H18" s="21" t="s">
        <v>19</v>
      </c>
      <c r="I18" s="21" t="s">
        <v>55</v>
      </c>
      <c r="J18" s="21">
        <v>18.72704704019176</v>
      </c>
      <c r="K18" s="21">
        <v>50.399279947415721</v>
      </c>
      <c r="L18" s="21" t="s">
        <v>27</v>
      </c>
      <c r="M18" s="12" t="s">
        <v>28</v>
      </c>
      <c r="N18" s="11"/>
    </row>
    <row r="19" spans="1:14" x14ac:dyDescent="0.3">
      <c r="A19" s="20" t="s">
        <v>56</v>
      </c>
      <c r="B19" s="21">
        <v>112346</v>
      </c>
      <c r="C19" s="21">
        <v>1173</v>
      </c>
      <c r="D19" s="21">
        <v>735</v>
      </c>
      <c r="E19" s="21">
        <v>405673</v>
      </c>
      <c r="F19" s="21">
        <v>392069</v>
      </c>
      <c r="G19" s="21">
        <v>4</v>
      </c>
      <c r="H19" s="21" t="s">
        <v>14</v>
      </c>
      <c r="I19" s="21" t="s">
        <v>57</v>
      </c>
      <c r="J19" s="21">
        <v>12.529151015612481</v>
      </c>
      <c r="K19" s="21">
        <v>103.4697974081093</v>
      </c>
      <c r="L19" s="21" t="s">
        <v>16</v>
      </c>
      <c r="M19" s="12" t="s">
        <v>17</v>
      </c>
      <c r="N19" s="11"/>
    </row>
    <row r="20" spans="1:14" x14ac:dyDescent="0.3">
      <c r="A20" s="20" t="s">
        <v>58</v>
      </c>
      <c r="B20" s="21">
        <v>91350</v>
      </c>
      <c r="C20" s="21">
        <v>750</v>
      </c>
      <c r="D20" s="21">
        <v>530</v>
      </c>
      <c r="E20" s="21">
        <v>176012</v>
      </c>
      <c r="F20" s="21">
        <v>899448</v>
      </c>
      <c r="G20" s="21">
        <v>1</v>
      </c>
      <c r="H20" s="21" t="s">
        <v>19</v>
      </c>
      <c r="I20" s="21" t="s">
        <v>59</v>
      </c>
      <c r="J20" s="21">
        <v>9.8522167487684733</v>
      </c>
      <c r="K20" s="21">
        <v>19.56889114212272</v>
      </c>
      <c r="L20" s="21" t="s">
        <v>27</v>
      </c>
      <c r="M20" s="12" t="s">
        <v>28</v>
      </c>
      <c r="N20" s="11"/>
    </row>
    <row r="21" spans="1:14" x14ac:dyDescent="0.3">
      <c r="A21" s="20" t="s">
        <v>60</v>
      </c>
      <c r="B21" s="21">
        <v>74457</v>
      </c>
      <c r="C21" s="21">
        <v>1636</v>
      </c>
      <c r="D21" s="21">
        <v>743</v>
      </c>
      <c r="E21" s="21">
        <v>730289</v>
      </c>
      <c r="F21" s="21">
        <v>359167</v>
      </c>
      <c r="G21" s="21">
        <v>11</v>
      </c>
      <c r="H21" s="21" t="s">
        <v>45</v>
      </c>
      <c r="I21" s="21" t="s">
        <v>61</v>
      </c>
      <c r="J21" s="21">
        <v>26.366896329425039</v>
      </c>
      <c r="K21" s="21">
        <v>203.3285351939349</v>
      </c>
      <c r="L21" s="21" t="s">
        <v>16</v>
      </c>
      <c r="M21" s="12" t="s">
        <v>17</v>
      </c>
      <c r="N21" s="11"/>
    </row>
    <row r="22" spans="1:14" x14ac:dyDescent="0.3">
      <c r="A22" s="20" t="s">
        <v>62</v>
      </c>
      <c r="B22" s="21">
        <v>85863</v>
      </c>
      <c r="C22" s="21">
        <v>1288</v>
      </c>
      <c r="D22" s="21">
        <v>710</v>
      </c>
      <c r="E22" s="21">
        <v>420141</v>
      </c>
      <c r="F22" s="21">
        <v>801462</v>
      </c>
      <c r="G22" s="21">
        <v>4</v>
      </c>
      <c r="H22" s="21" t="s">
        <v>19</v>
      </c>
      <c r="I22" s="21" t="s">
        <v>63</v>
      </c>
      <c r="J22" s="21">
        <v>18.000768666363861</v>
      </c>
      <c r="K22" s="21">
        <v>52.421824116427231</v>
      </c>
      <c r="L22" s="21" t="s">
        <v>16</v>
      </c>
      <c r="M22" s="12" t="s">
        <v>21</v>
      </c>
      <c r="N22" s="11"/>
    </row>
    <row r="23" spans="1:14" x14ac:dyDescent="0.3">
      <c r="A23" s="20" t="s">
        <v>64</v>
      </c>
      <c r="B23" s="21">
        <v>74536</v>
      </c>
      <c r="C23" s="21">
        <v>2305</v>
      </c>
      <c r="D23" s="21">
        <v>668</v>
      </c>
      <c r="E23" s="21">
        <v>798906</v>
      </c>
      <c r="F23" s="21">
        <v>492097</v>
      </c>
      <c r="G23" s="21">
        <v>11</v>
      </c>
      <c r="H23" s="21" t="s">
        <v>32</v>
      </c>
      <c r="I23" s="21" t="s">
        <v>51</v>
      </c>
      <c r="J23" s="21">
        <v>37.109584630245791</v>
      </c>
      <c r="K23" s="21">
        <v>162.34726080427231</v>
      </c>
      <c r="L23" s="21" t="s">
        <v>16</v>
      </c>
      <c r="M23" s="12" t="s">
        <v>17</v>
      </c>
      <c r="N23" s="11"/>
    </row>
    <row r="24" spans="1:14" x14ac:dyDescent="0.3">
      <c r="A24" s="20" t="s">
        <v>65</v>
      </c>
      <c r="B24" s="21">
        <v>118887</v>
      </c>
      <c r="C24" s="21">
        <v>2923</v>
      </c>
      <c r="D24" s="21">
        <v>738</v>
      </c>
      <c r="E24" s="21">
        <v>979221</v>
      </c>
      <c r="F24" s="21">
        <v>355740</v>
      </c>
      <c r="G24" s="21">
        <v>10</v>
      </c>
      <c r="H24" s="21" t="s">
        <v>32</v>
      </c>
      <c r="I24" s="21" t="s">
        <v>66</v>
      </c>
      <c r="J24" s="21">
        <v>29.503646319614429</v>
      </c>
      <c r="K24" s="21">
        <v>275.26311350986668</v>
      </c>
      <c r="L24" s="21" t="s">
        <v>16</v>
      </c>
      <c r="M24" s="12" t="s">
        <v>17</v>
      </c>
      <c r="N24" s="11"/>
    </row>
    <row r="25" spans="1:14" x14ac:dyDescent="0.3">
      <c r="A25" s="20" t="s">
        <v>67</v>
      </c>
      <c r="B25" s="21">
        <v>93593</v>
      </c>
      <c r="C25" s="21">
        <v>2459</v>
      </c>
      <c r="D25" s="21">
        <v>555</v>
      </c>
      <c r="E25" s="21">
        <v>100978</v>
      </c>
      <c r="F25" s="21">
        <v>690923</v>
      </c>
      <c r="G25" s="21">
        <v>8</v>
      </c>
      <c r="H25" s="21" t="s">
        <v>14</v>
      </c>
      <c r="I25" s="21" t="s">
        <v>61</v>
      </c>
      <c r="J25" s="21">
        <v>31.52799888880579</v>
      </c>
      <c r="K25" s="21">
        <v>14.614942620234091</v>
      </c>
      <c r="L25" s="21" t="s">
        <v>27</v>
      </c>
      <c r="M25" s="12" t="s">
        <v>28</v>
      </c>
      <c r="N25" s="11"/>
    </row>
    <row r="26" spans="1:14" x14ac:dyDescent="0.3">
      <c r="A26" s="20" t="s">
        <v>68</v>
      </c>
      <c r="B26" s="21">
        <v>118968</v>
      </c>
      <c r="C26" s="21">
        <v>1828</v>
      </c>
      <c r="D26" s="21">
        <v>741</v>
      </c>
      <c r="E26" s="21">
        <v>111499</v>
      </c>
      <c r="F26" s="21">
        <v>624421</v>
      </c>
      <c r="G26" s="21">
        <v>2</v>
      </c>
      <c r="H26" s="21" t="s">
        <v>19</v>
      </c>
      <c r="I26" s="21" t="s">
        <v>69</v>
      </c>
      <c r="J26" s="21">
        <v>18.438571716764169</v>
      </c>
      <c r="K26" s="21">
        <v>17.856382152426011</v>
      </c>
      <c r="L26" s="21" t="s">
        <v>16</v>
      </c>
      <c r="M26" s="12" t="s">
        <v>21</v>
      </c>
      <c r="N26" s="11"/>
    </row>
    <row r="27" spans="1:14" x14ac:dyDescent="0.3">
      <c r="A27" s="20" t="s">
        <v>70</v>
      </c>
      <c r="B27" s="21">
        <v>98989</v>
      </c>
      <c r="C27" s="21">
        <v>1087</v>
      </c>
      <c r="D27" s="21">
        <v>664</v>
      </c>
      <c r="E27" s="21">
        <v>450651</v>
      </c>
      <c r="F27" s="21">
        <v>497748</v>
      </c>
      <c r="G27" s="21">
        <v>9</v>
      </c>
      <c r="H27" s="21" t="s">
        <v>32</v>
      </c>
      <c r="I27" s="21" t="s">
        <v>39</v>
      </c>
      <c r="J27" s="21">
        <v>13.1772217115033</v>
      </c>
      <c r="K27" s="21">
        <v>90.537983075773283</v>
      </c>
      <c r="L27" s="21" t="s">
        <v>16</v>
      </c>
      <c r="M27" s="12" t="s">
        <v>17</v>
      </c>
      <c r="N27" s="11"/>
    </row>
    <row r="28" spans="1:14" x14ac:dyDescent="0.3">
      <c r="A28" s="20" t="s">
        <v>71</v>
      </c>
      <c r="B28" s="21">
        <v>102214</v>
      </c>
      <c r="C28" s="21">
        <v>2406</v>
      </c>
      <c r="D28" s="21">
        <v>824</v>
      </c>
      <c r="E28" s="21">
        <v>284354</v>
      </c>
      <c r="F28" s="21">
        <v>373772</v>
      </c>
      <c r="G28" s="21">
        <v>10</v>
      </c>
      <c r="H28" s="21" t="s">
        <v>32</v>
      </c>
      <c r="I28" s="21" t="s">
        <v>72</v>
      </c>
      <c r="J28" s="21">
        <v>28.246619836812961</v>
      </c>
      <c r="K28" s="21">
        <v>76.076859689864406</v>
      </c>
      <c r="L28" s="21" t="s">
        <v>24</v>
      </c>
      <c r="M28" s="12" t="s">
        <v>21</v>
      </c>
      <c r="N28" s="11"/>
    </row>
    <row r="29" spans="1:14" x14ac:dyDescent="0.3">
      <c r="A29" s="20" t="s">
        <v>73</v>
      </c>
      <c r="B29" s="21">
        <v>97949</v>
      </c>
      <c r="C29" s="21">
        <v>2446</v>
      </c>
      <c r="D29" s="21">
        <v>631</v>
      </c>
      <c r="E29" s="21">
        <v>886940</v>
      </c>
      <c r="F29" s="21">
        <v>326622</v>
      </c>
      <c r="G29" s="21">
        <v>12</v>
      </c>
      <c r="H29" s="21" t="s">
        <v>32</v>
      </c>
      <c r="I29" s="21" t="s">
        <v>61</v>
      </c>
      <c r="J29" s="21">
        <v>29.966615279380079</v>
      </c>
      <c r="K29" s="21">
        <v>271.54937511863869</v>
      </c>
      <c r="L29" s="21" t="s">
        <v>27</v>
      </c>
      <c r="M29" s="12" t="s">
        <v>28</v>
      </c>
      <c r="N29" s="11"/>
    </row>
    <row r="30" spans="1:14" x14ac:dyDescent="0.3">
      <c r="A30" s="20" t="s">
        <v>74</v>
      </c>
      <c r="B30" s="21">
        <v>104491</v>
      </c>
      <c r="C30" s="21">
        <v>375</v>
      </c>
      <c r="D30" s="21">
        <v>624</v>
      </c>
      <c r="E30" s="21">
        <v>753762</v>
      </c>
      <c r="F30" s="21">
        <v>439489</v>
      </c>
      <c r="G30" s="21">
        <v>5</v>
      </c>
      <c r="H30" s="21" t="s">
        <v>14</v>
      </c>
      <c r="I30" s="21" t="s">
        <v>75</v>
      </c>
      <c r="J30" s="21">
        <v>4.3065909982677928</v>
      </c>
      <c r="K30" s="21">
        <v>171.50872945625491</v>
      </c>
      <c r="L30" s="21" t="s">
        <v>27</v>
      </c>
      <c r="M30" s="12" t="s">
        <v>28</v>
      </c>
      <c r="N30" s="11"/>
    </row>
    <row r="31" spans="1:14" x14ac:dyDescent="0.3">
      <c r="A31" s="20" t="s">
        <v>76</v>
      </c>
      <c r="B31" s="21">
        <v>110474</v>
      </c>
      <c r="C31" s="21">
        <v>2415</v>
      </c>
      <c r="D31" s="21">
        <v>535</v>
      </c>
      <c r="E31" s="21">
        <v>455892</v>
      </c>
      <c r="F31" s="21">
        <v>612670</v>
      </c>
      <c r="G31" s="21">
        <v>11</v>
      </c>
      <c r="H31" s="21" t="s">
        <v>32</v>
      </c>
      <c r="I31" s="21" t="s">
        <v>77</v>
      </c>
      <c r="J31" s="21">
        <v>26.232416677227221</v>
      </c>
      <c r="K31" s="21">
        <v>74.410694174678042</v>
      </c>
      <c r="L31" s="21" t="s">
        <v>27</v>
      </c>
      <c r="M31" s="12" t="s">
        <v>28</v>
      </c>
      <c r="N31" s="11"/>
    </row>
    <row r="32" spans="1:14" x14ac:dyDescent="0.3">
      <c r="A32" s="20" t="s">
        <v>78</v>
      </c>
      <c r="B32" s="21">
        <v>75449</v>
      </c>
      <c r="C32" s="21">
        <v>1927</v>
      </c>
      <c r="D32" s="21">
        <v>526</v>
      </c>
      <c r="E32" s="21">
        <v>385604</v>
      </c>
      <c r="F32" s="21">
        <v>887392</v>
      </c>
      <c r="G32" s="21">
        <v>5</v>
      </c>
      <c r="H32" s="21" t="s">
        <v>14</v>
      </c>
      <c r="I32" s="21" t="s">
        <v>79</v>
      </c>
      <c r="J32" s="21">
        <v>30.648517541650651</v>
      </c>
      <c r="K32" s="21">
        <v>43.453625906025742</v>
      </c>
      <c r="L32" s="21" t="s">
        <v>27</v>
      </c>
      <c r="M32" s="12" t="s">
        <v>28</v>
      </c>
      <c r="N32" s="11"/>
    </row>
    <row r="33" spans="1:14" x14ac:dyDescent="0.3">
      <c r="A33" s="20" t="s">
        <v>80</v>
      </c>
      <c r="B33" s="21">
        <v>78465</v>
      </c>
      <c r="C33" s="21">
        <v>723</v>
      </c>
      <c r="D33" s="21">
        <v>759</v>
      </c>
      <c r="E33" s="21">
        <v>144210</v>
      </c>
      <c r="F33" s="21">
        <v>842636</v>
      </c>
      <c r="G33" s="21">
        <v>8</v>
      </c>
      <c r="H33" s="21" t="s">
        <v>32</v>
      </c>
      <c r="I33" s="21" t="s">
        <v>72</v>
      </c>
      <c r="J33" s="21">
        <v>11.057159242974571</v>
      </c>
      <c r="K33" s="21">
        <v>17.114151306139309</v>
      </c>
      <c r="L33" s="21" t="s">
        <v>24</v>
      </c>
      <c r="M33" s="12" t="s">
        <v>21</v>
      </c>
      <c r="N33" s="11"/>
    </row>
    <row r="34" spans="1:14" x14ac:dyDescent="0.3">
      <c r="A34" s="20" t="s">
        <v>81</v>
      </c>
      <c r="B34" s="21">
        <v>95280</v>
      </c>
      <c r="C34" s="21">
        <v>1173</v>
      </c>
      <c r="D34" s="21">
        <v>823</v>
      </c>
      <c r="E34" s="21">
        <v>247986</v>
      </c>
      <c r="F34" s="21">
        <v>990421</v>
      </c>
      <c r="G34" s="21">
        <v>7</v>
      </c>
      <c r="H34" s="21" t="s">
        <v>14</v>
      </c>
      <c r="I34" s="21" t="s">
        <v>82</v>
      </c>
      <c r="J34" s="21">
        <v>14.77329974811083</v>
      </c>
      <c r="K34" s="21">
        <v>25.03844324787136</v>
      </c>
      <c r="L34" s="21" t="s">
        <v>24</v>
      </c>
      <c r="M34" s="12" t="s">
        <v>21</v>
      </c>
      <c r="N34" s="11"/>
    </row>
    <row r="35" spans="1:14" x14ac:dyDescent="0.3">
      <c r="A35" s="20" t="s">
        <v>83</v>
      </c>
      <c r="B35" s="21">
        <v>85659</v>
      </c>
      <c r="C35" s="21">
        <v>521</v>
      </c>
      <c r="D35" s="21">
        <v>594</v>
      </c>
      <c r="E35" s="21">
        <v>652404</v>
      </c>
      <c r="F35" s="21">
        <v>954627</v>
      </c>
      <c r="G35" s="21">
        <v>9</v>
      </c>
      <c r="H35" s="21" t="s">
        <v>19</v>
      </c>
      <c r="I35" s="21" t="s">
        <v>84</v>
      </c>
      <c r="J35" s="21">
        <v>7.298707666444856</v>
      </c>
      <c r="K35" s="21">
        <v>68.341247419149056</v>
      </c>
      <c r="L35" s="21" t="s">
        <v>27</v>
      </c>
      <c r="M35" s="12" t="s">
        <v>28</v>
      </c>
      <c r="N35" s="11"/>
    </row>
    <row r="36" spans="1:14" x14ac:dyDescent="0.3">
      <c r="A36" s="20" t="s">
        <v>85</v>
      </c>
      <c r="B36" s="21">
        <v>92328</v>
      </c>
      <c r="C36" s="21">
        <v>938</v>
      </c>
      <c r="D36" s="21">
        <v>511</v>
      </c>
      <c r="E36" s="21">
        <v>160162</v>
      </c>
      <c r="F36" s="21">
        <v>220442</v>
      </c>
      <c r="G36" s="21">
        <v>8</v>
      </c>
      <c r="H36" s="21" t="s">
        <v>45</v>
      </c>
      <c r="I36" s="21" t="s">
        <v>86</v>
      </c>
      <c r="J36" s="21">
        <v>12.191317910059791</v>
      </c>
      <c r="K36" s="21">
        <v>72.654938714038167</v>
      </c>
      <c r="L36" s="21" t="s">
        <v>27</v>
      </c>
      <c r="M36" s="12" t="s">
        <v>28</v>
      </c>
      <c r="N36" s="11"/>
    </row>
    <row r="37" spans="1:14" x14ac:dyDescent="0.3">
      <c r="A37" s="20" t="s">
        <v>87</v>
      </c>
      <c r="B37" s="21">
        <v>94629</v>
      </c>
      <c r="C37" s="21">
        <v>2488</v>
      </c>
      <c r="D37" s="21">
        <v>599</v>
      </c>
      <c r="E37" s="21">
        <v>499503</v>
      </c>
      <c r="F37" s="21">
        <v>763658</v>
      </c>
      <c r="G37" s="21">
        <v>11</v>
      </c>
      <c r="H37" s="21" t="s">
        <v>14</v>
      </c>
      <c r="I37" s="21" t="s">
        <v>72</v>
      </c>
      <c r="J37" s="21">
        <v>31.550581745553689</v>
      </c>
      <c r="K37" s="21">
        <v>65.409253880663854</v>
      </c>
      <c r="L37" s="21" t="s">
        <v>27</v>
      </c>
      <c r="M37" s="12" t="s">
        <v>28</v>
      </c>
      <c r="N37" s="11"/>
    </row>
    <row r="38" spans="1:14" x14ac:dyDescent="0.3">
      <c r="A38" s="20" t="s">
        <v>88</v>
      </c>
      <c r="B38" s="21">
        <v>77669</v>
      </c>
      <c r="C38" s="21">
        <v>1609</v>
      </c>
      <c r="D38" s="21">
        <v>566</v>
      </c>
      <c r="E38" s="21">
        <v>586556</v>
      </c>
      <c r="F38" s="21">
        <v>298444</v>
      </c>
      <c r="G38" s="21">
        <v>9</v>
      </c>
      <c r="H38" s="21" t="s">
        <v>45</v>
      </c>
      <c r="I38" s="21" t="s">
        <v>89</v>
      </c>
      <c r="J38" s="21">
        <v>24.85933898981575</v>
      </c>
      <c r="K38" s="21">
        <v>196.53804398815191</v>
      </c>
      <c r="L38" s="21" t="s">
        <v>27</v>
      </c>
      <c r="M38" s="12" t="s">
        <v>28</v>
      </c>
      <c r="N38" s="11"/>
    </row>
    <row r="39" spans="1:14" x14ac:dyDescent="0.3">
      <c r="A39" s="20" t="s">
        <v>90</v>
      </c>
      <c r="B39" s="21">
        <v>105141</v>
      </c>
      <c r="C39" s="21">
        <v>2862</v>
      </c>
      <c r="D39" s="21">
        <v>769</v>
      </c>
      <c r="E39" s="21">
        <v>267279</v>
      </c>
      <c r="F39" s="21">
        <v>787526</v>
      </c>
      <c r="G39" s="21">
        <v>6</v>
      </c>
      <c r="H39" s="21" t="s">
        <v>45</v>
      </c>
      <c r="I39" s="21" t="s">
        <v>91</v>
      </c>
      <c r="J39" s="21">
        <v>32.664707392929493</v>
      </c>
      <c r="K39" s="21">
        <v>33.939069948166789</v>
      </c>
      <c r="L39" s="21" t="s">
        <v>24</v>
      </c>
      <c r="M39" s="12" t="s">
        <v>21</v>
      </c>
      <c r="N39" s="11"/>
    </row>
    <row r="40" spans="1:14" x14ac:dyDescent="0.3">
      <c r="A40" s="20" t="s">
        <v>92</v>
      </c>
      <c r="B40" s="21">
        <v>96473</v>
      </c>
      <c r="C40" s="21">
        <v>2250</v>
      </c>
      <c r="D40" s="21">
        <v>590</v>
      </c>
      <c r="E40" s="21">
        <v>776313</v>
      </c>
      <c r="F40" s="21">
        <v>822639</v>
      </c>
      <c r="G40" s="21">
        <v>9</v>
      </c>
      <c r="H40" s="21" t="s">
        <v>14</v>
      </c>
      <c r="I40" s="21" t="s">
        <v>69</v>
      </c>
      <c r="J40" s="21">
        <v>27.987105200418771</v>
      </c>
      <c r="K40" s="21">
        <v>94.36861126204812</v>
      </c>
      <c r="L40" s="21" t="s">
        <v>27</v>
      </c>
      <c r="M40" s="12" t="s">
        <v>28</v>
      </c>
      <c r="N40" s="11"/>
    </row>
    <row r="41" spans="1:14" x14ac:dyDescent="0.3">
      <c r="A41" s="20" t="s">
        <v>93</v>
      </c>
      <c r="B41" s="21">
        <v>119041</v>
      </c>
      <c r="C41" s="21">
        <v>1062</v>
      </c>
      <c r="D41" s="21">
        <v>636</v>
      </c>
      <c r="E41" s="21">
        <v>966209</v>
      </c>
      <c r="F41" s="21">
        <v>306195</v>
      </c>
      <c r="G41" s="21">
        <v>5</v>
      </c>
      <c r="H41" s="21" t="s">
        <v>14</v>
      </c>
      <c r="I41" s="21" t="s">
        <v>82</v>
      </c>
      <c r="J41" s="21">
        <v>10.705555228870731</v>
      </c>
      <c r="K41" s="21">
        <v>315.55348715687722</v>
      </c>
      <c r="L41" s="21" t="s">
        <v>27</v>
      </c>
      <c r="M41" s="12" t="s">
        <v>28</v>
      </c>
      <c r="N41" s="11"/>
    </row>
    <row r="42" spans="1:14" x14ac:dyDescent="0.3">
      <c r="A42" s="20" t="s">
        <v>94</v>
      </c>
      <c r="B42" s="21">
        <v>108344</v>
      </c>
      <c r="C42" s="21">
        <v>2432</v>
      </c>
      <c r="D42" s="21">
        <v>576</v>
      </c>
      <c r="E42" s="21">
        <v>158399</v>
      </c>
      <c r="F42" s="21">
        <v>453574</v>
      </c>
      <c r="G42" s="21">
        <v>5</v>
      </c>
      <c r="H42" s="21" t="s">
        <v>19</v>
      </c>
      <c r="I42" s="21" t="s">
        <v>86</v>
      </c>
      <c r="J42" s="21">
        <v>26.93642472125822</v>
      </c>
      <c r="K42" s="21">
        <v>34.922416187876728</v>
      </c>
      <c r="L42" s="21" t="s">
        <v>27</v>
      </c>
      <c r="M42" s="12" t="s">
        <v>28</v>
      </c>
      <c r="N42" s="11"/>
    </row>
    <row r="43" spans="1:14" x14ac:dyDescent="0.3">
      <c r="A43" s="20" t="s">
        <v>95</v>
      </c>
      <c r="B43" s="21">
        <v>110470</v>
      </c>
      <c r="C43" s="21">
        <v>630</v>
      </c>
      <c r="D43" s="21">
        <v>624</v>
      </c>
      <c r="E43" s="21">
        <v>863110</v>
      </c>
      <c r="F43" s="21">
        <v>205302</v>
      </c>
      <c r="G43" s="21">
        <v>7</v>
      </c>
      <c r="H43" s="21" t="s">
        <v>32</v>
      </c>
      <c r="I43" s="21" t="s">
        <v>96</v>
      </c>
      <c r="J43" s="21">
        <v>6.8434869195256622</v>
      </c>
      <c r="K43" s="21">
        <v>420.40993268453298</v>
      </c>
      <c r="L43" s="21" t="s">
        <v>27</v>
      </c>
      <c r="M43" s="12" t="s">
        <v>28</v>
      </c>
      <c r="N43" s="11"/>
    </row>
    <row r="44" spans="1:14" x14ac:dyDescent="0.3">
      <c r="A44" s="20" t="s">
        <v>97</v>
      </c>
      <c r="B44" s="21">
        <v>95612</v>
      </c>
      <c r="C44" s="21">
        <v>2845</v>
      </c>
      <c r="D44" s="21">
        <v>474</v>
      </c>
      <c r="E44" s="21">
        <v>860066</v>
      </c>
      <c r="F44" s="21">
        <v>974876</v>
      </c>
      <c r="G44" s="21">
        <v>7</v>
      </c>
      <c r="H44" s="21" t="s">
        <v>45</v>
      </c>
      <c r="I44" s="21" t="s">
        <v>72</v>
      </c>
      <c r="J44" s="21">
        <v>35.706815044136718</v>
      </c>
      <c r="K44" s="21">
        <v>88.223117606752027</v>
      </c>
      <c r="L44" s="21" t="s">
        <v>27</v>
      </c>
      <c r="M44" s="12" t="s">
        <v>28</v>
      </c>
      <c r="N44" s="11"/>
    </row>
    <row r="45" spans="1:14" x14ac:dyDescent="0.3">
      <c r="A45" s="20" t="s">
        <v>98</v>
      </c>
      <c r="B45" s="21">
        <v>112845</v>
      </c>
      <c r="C45" s="21">
        <v>425</v>
      </c>
      <c r="D45" s="21">
        <v>770</v>
      </c>
      <c r="E45" s="21">
        <v>486771</v>
      </c>
      <c r="F45" s="21">
        <v>852087</v>
      </c>
      <c r="G45" s="21">
        <v>11</v>
      </c>
      <c r="H45" s="21" t="s">
        <v>45</v>
      </c>
      <c r="I45" s="21" t="s">
        <v>99</v>
      </c>
      <c r="J45" s="21">
        <v>4.5194736142496348</v>
      </c>
      <c r="K45" s="21">
        <v>57.126913096902079</v>
      </c>
      <c r="L45" s="21" t="s">
        <v>24</v>
      </c>
      <c r="M45" s="12" t="s">
        <v>21</v>
      </c>
      <c r="N45" s="11"/>
    </row>
    <row r="46" spans="1:14" x14ac:dyDescent="0.3">
      <c r="A46" s="20" t="s">
        <v>100</v>
      </c>
      <c r="B46" s="21">
        <v>116108</v>
      </c>
      <c r="C46" s="21">
        <v>2788</v>
      </c>
      <c r="D46" s="21">
        <v>718</v>
      </c>
      <c r="E46" s="21">
        <v>370554</v>
      </c>
      <c r="F46" s="21">
        <v>717344</v>
      </c>
      <c r="G46" s="21">
        <v>4</v>
      </c>
      <c r="H46" s="21" t="s">
        <v>14</v>
      </c>
      <c r="I46" s="21" t="s">
        <v>79</v>
      </c>
      <c r="J46" s="21">
        <v>28.814551968856581</v>
      </c>
      <c r="K46" s="21">
        <v>51.65638800910024</v>
      </c>
      <c r="L46" s="21" t="s">
        <v>16</v>
      </c>
      <c r="M46" s="12" t="s">
        <v>21</v>
      </c>
      <c r="N46" s="11"/>
    </row>
    <row r="47" spans="1:14" x14ac:dyDescent="0.3">
      <c r="A47" s="20" t="s">
        <v>101</v>
      </c>
      <c r="B47" s="21">
        <v>76373</v>
      </c>
      <c r="C47" s="21">
        <v>815</v>
      </c>
      <c r="D47" s="21">
        <v>735</v>
      </c>
      <c r="E47" s="21">
        <v>509571</v>
      </c>
      <c r="F47" s="21">
        <v>400406</v>
      </c>
      <c r="G47" s="21">
        <v>3</v>
      </c>
      <c r="H47" s="21" t="s">
        <v>14</v>
      </c>
      <c r="I47" s="21" t="s">
        <v>39</v>
      </c>
      <c r="J47" s="21">
        <v>12.8055726500203</v>
      </c>
      <c r="K47" s="21">
        <v>127.2635774688691</v>
      </c>
      <c r="L47" s="21" t="s">
        <v>16</v>
      </c>
      <c r="M47" s="12" t="s">
        <v>17</v>
      </c>
      <c r="N47" s="11"/>
    </row>
    <row r="48" spans="1:14" x14ac:dyDescent="0.3">
      <c r="A48" s="20" t="s">
        <v>102</v>
      </c>
      <c r="B48" s="21">
        <v>89062</v>
      </c>
      <c r="C48" s="21">
        <v>1763</v>
      </c>
      <c r="D48" s="21">
        <v>728</v>
      </c>
      <c r="E48" s="21">
        <v>134313</v>
      </c>
      <c r="F48" s="21">
        <v>370052</v>
      </c>
      <c r="G48" s="21">
        <v>12</v>
      </c>
      <c r="H48" s="21" t="s">
        <v>19</v>
      </c>
      <c r="I48" s="21" t="s">
        <v>39</v>
      </c>
      <c r="J48" s="21">
        <v>23.754238620286991</v>
      </c>
      <c r="K48" s="21">
        <v>36.295709792137323</v>
      </c>
      <c r="L48" s="21" t="s">
        <v>16</v>
      </c>
      <c r="M48" s="12" t="s">
        <v>21</v>
      </c>
      <c r="N48" s="11"/>
    </row>
    <row r="49" spans="1:14" x14ac:dyDescent="0.3">
      <c r="A49" s="20" t="s">
        <v>103</v>
      </c>
      <c r="B49" s="21">
        <v>107787</v>
      </c>
      <c r="C49" s="21">
        <v>538</v>
      </c>
      <c r="D49" s="21">
        <v>576</v>
      </c>
      <c r="E49" s="21">
        <v>745601</v>
      </c>
      <c r="F49" s="21">
        <v>561555</v>
      </c>
      <c r="G49" s="21">
        <v>5</v>
      </c>
      <c r="H49" s="21" t="s">
        <v>14</v>
      </c>
      <c r="I49" s="21" t="s">
        <v>75</v>
      </c>
      <c r="J49" s="21">
        <v>5.9895905814244763</v>
      </c>
      <c r="K49" s="21">
        <v>132.77434979654711</v>
      </c>
      <c r="L49" s="21" t="s">
        <v>27</v>
      </c>
      <c r="M49" s="12" t="s">
        <v>28</v>
      </c>
      <c r="N49" s="11"/>
    </row>
    <row r="50" spans="1:14" x14ac:dyDescent="0.3">
      <c r="A50" s="20" t="s">
        <v>104</v>
      </c>
      <c r="B50" s="21">
        <v>82170</v>
      </c>
      <c r="C50" s="21">
        <v>1447</v>
      </c>
      <c r="D50" s="21">
        <v>733</v>
      </c>
      <c r="E50" s="21">
        <v>319391</v>
      </c>
      <c r="F50" s="21">
        <v>219169</v>
      </c>
      <c r="G50" s="21">
        <v>12</v>
      </c>
      <c r="H50" s="21" t="s">
        <v>45</v>
      </c>
      <c r="I50" s="21" t="s">
        <v>105</v>
      </c>
      <c r="J50" s="21">
        <v>21.131799926980651</v>
      </c>
      <c r="K50" s="21">
        <v>145.72818236155661</v>
      </c>
      <c r="L50" s="21" t="s">
        <v>16</v>
      </c>
      <c r="M50" s="12" t="s">
        <v>17</v>
      </c>
      <c r="N50" s="11"/>
    </row>
    <row r="51" spans="1:14" x14ac:dyDescent="0.3">
      <c r="A51" s="20" t="s">
        <v>106</v>
      </c>
      <c r="B51" s="21">
        <v>119073</v>
      </c>
      <c r="C51" s="21">
        <v>1603</v>
      </c>
      <c r="D51" s="21">
        <v>730</v>
      </c>
      <c r="E51" s="21">
        <v>333689</v>
      </c>
      <c r="F51" s="21">
        <v>542699</v>
      </c>
      <c r="G51" s="21">
        <v>3</v>
      </c>
      <c r="H51" s="21" t="s">
        <v>19</v>
      </c>
      <c r="I51" s="21" t="s">
        <v>69</v>
      </c>
      <c r="J51" s="21">
        <v>16.154795797535961</v>
      </c>
      <c r="K51" s="21">
        <v>61.48693843180105</v>
      </c>
      <c r="L51" s="21" t="s">
        <v>16</v>
      </c>
      <c r="M51" s="12" t="s">
        <v>21</v>
      </c>
      <c r="N51" s="11"/>
    </row>
    <row r="52" spans="1:14" x14ac:dyDescent="0.3">
      <c r="A52" s="20" t="s">
        <v>107</v>
      </c>
      <c r="B52" s="21">
        <v>117219</v>
      </c>
      <c r="C52" s="21">
        <v>1124</v>
      </c>
      <c r="D52" s="21">
        <v>729</v>
      </c>
      <c r="E52" s="21">
        <v>562189</v>
      </c>
      <c r="F52" s="21">
        <v>768048</v>
      </c>
      <c r="G52" s="21">
        <v>2</v>
      </c>
      <c r="H52" s="21" t="s">
        <v>45</v>
      </c>
      <c r="I52" s="21" t="s">
        <v>108</v>
      </c>
      <c r="J52" s="21">
        <v>11.50666700790827</v>
      </c>
      <c r="K52" s="21">
        <v>73.1971178884653</v>
      </c>
      <c r="L52" s="21" t="s">
        <v>16</v>
      </c>
      <c r="M52" s="12" t="s">
        <v>21</v>
      </c>
      <c r="N52" s="11"/>
    </row>
    <row r="53" spans="1:14" x14ac:dyDescent="0.3">
      <c r="A53" s="20" t="s">
        <v>109</v>
      </c>
      <c r="B53" s="21">
        <v>119227</v>
      </c>
      <c r="C53" s="21">
        <v>2770</v>
      </c>
      <c r="D53" s="21">
        <v>609</v>
      </c>
      <c r="E53" s="21">
        <v>806998</v>
      </c>
      <c r="F53" s="21">
        <v>234078</v>
      </c>
      <c r="G53" s="21">
        <v>2</v>
      </c>
      <c r="H53" s="21" t="s">
        <v>14</v>
      </c>
      <c r="I53" s="21" t="s">
        <v>69</v>
      </c>
      <c r="J53" s="21">
        <v>27.879591032232629</v>
      </c>
      <c r="K53" s="21">
        <v>344.75602149710778</v>
      </c>
      <c r="L53" s="21" t="s">
        <v>27</v>
      </c>
      <c r="M53" s="12" t="s">
        <v>28</v>
      </c>
      <c r="N53" s="11"/>
    </row>
    <row r="54" spans="1:14" x14ac:dyDescent="0.3">
      <c r="A54" s="20" t="s">
        <v>110</v>
      </c>
      <c r="B54" s="21">
        <v>116442</v>
      </c>
      <c r="C54" s="21">
        <v>1216</v>
      </c>
      <c r="D54" s="21">
        <v>674</v>
      </c>
      <c r="E54" s="21">
        <v>304074</v>
      </c>
      <c r="F54" s="21">
        <v>276981</v>
      </c>
      <c r="G54" s="21">
        <v>10</v>
      </c>
      <c r="H54" s="21" t="s">
        <v>14</v>
      </c>
      <c r="I54" s="21" t="s">
        <v>105</v>
      </c>
      <c r="J54" s="21">
        <v>12.531560777039211</v>
      </c>
      <c r="K54" s="21">
        <v>109.7815373617685</v>
      </c>
      <c r="L54" s="21" t="s">
        <v>16</v>
      </c>
      <c r="M54" s="12" t="s">
        <v>17</v>
      </c>
      <c r="N54" s="11"/>
    </row>
    <row r="55" spans="1:14" x14ac:dyDescent="0.3">
      <c r="A55" s="20" t="s">
        <v>111</v>
      </c>
      <c r="B55" s="21">
        <v>111042</v>
      </c>
      <c r="C55" s="21">
        <v>1796</v>
      </c>
      <c r="D55" s="21">
        <v>705</v>
      </c>
      <c r="E55" s="21">
        <v>656934</v>
      </c>
      <c r="F55" s="21">
        <v>954754</v>
      </c>
      <c r="G55" s="21">
        <v>5</v>
      </c>
      <c r="H55" s="21" t="s">
        <v>45</v>
      </c>
      <c r="I55" s="21" t="s">
        <v>69</v>
      </c>
      <c r="J55" s="21">
        <v>19.408872318582159</v>
      </c>
      <c r="K55" s="21">
        <v>68.806624533649511</v>
      </c>
      <c r="L55" s="21" t="s">
        <v>16</v>
      </c>
      <c r="M55" s="12" t="s">
        <v>21</v>
      </c>
      <c r="N55" s="11"/>
    </row>
    <row r="56" spans="1:14" x14ac:dyDescent="0.3">
      <c r="A56" s="20" t="s">
        <v>112</v>
      </c>
      <c r="B56" s="21">
        <v>106585</v>
      </c>
      <c r="C56" s="21">
        <v>1225</v>
      </c>
      <c r="D56" s="21">
        <v>792</v>
      </c>
      <c r="E56" s="21">
        <v>837209</v>
      </c>
      <c r="F56" s="21">
        <v>578078</v>
      </c>
      <c r="G56" s="21">
        <v>3</v>
      </c>
      <c r="H56" s="21" t="s">
        <v>45</v>
      </c>
      <c r="I56" s="21" t="s">
        <v>113</v>
      </c>
      <c r="J56" s="21">
        <v>13.79180935403668</v>
      </c>
      <c r="K56" s="21">
        <v>144.82630371679949</v>
      </c>
      <c r="L56" s="21" t="s">
        <v>24</v>
      </c>
      <c r="M56" s="12" t="s">
        <v>17</v>
      </c>
      <c r="N56" s="11"/>
    </row>
    <row r="57" spans="1:14" x14ac:dyDescent="0.3">
      <c r="A57" s="20" t="s">
        <v>114</v>
      </c>
      <c r="B57" s="21">
        <v>77679</v>
      </c>
      <c r="C57" s="21">
        <v>1561</v>
      </c>
      <c r="D57" s="21">
        <v>798</v>
      </c>
      <c r="E57" s="21">
        <v>294283</v>
      </c>
      <c r="F57" s="21">
        <v>575375</v>
      </c>
      <c r="G57" s="21">
        <v>1</v>
      </c>
      <c r="H57" s="21" t="s">
        <v>32</v>
      </c>
      <c r="I57" s="21" t="s">
        <v>115</v>
      </c>
      <c r="J57" s="21">
        <v>24.114625574479589</v>
      </c>
      <c r="K57" s="21">
        <v>51.146295893982177</v>
      </c>
      <c r="L57" s="21" t="s">
        <v>24</v>
      </c>
      <c r="M57" s="12" t="s">
        <v>21</v>
      </c>
      <c r="N57" s="11"/>
    </row>
    <row r="58" spans="1:14" x14ac:dyDescent="0.3">
      <c r="A58" s="20" t="s">
        <v>116</v>
      </c>
      <c r="B58" s="21">
        <v>116130</v>
      </c>
      <c r="C58" s="21">
        <v>586</v>
      </c>
      <c r="D58" s="21">
        <v>769</v>
      </c>
      <c r="E58" s="21">
        <v>837650</v>
      </c>
      <c r="F58" s="21">
        <v>997841</v>
      </c>
      <c r="G58" s="21">
        <v>3</v>
      </c>
      <c r="H58" s="21" t="s">
        <v>45</v>
      </c>
      <c r="I58" s="21" t="s">
        <v>72</v>
      </c>
      <c r="J58" s="21">
        <v>6.0552828726427279</v>
      </c>
      <c r="K58" s="21">
        <v>83.946239932013214</v>
      </c>
      <c r="L58" s="21" t="s">
        <v>24</v>
      </c>
      <c r="M58" s="12" t="s">
        <v>17</v>
      </c>
      <c r="N58" s="11"/>
    </row>
    <row r="59" spans="1:14" x14ac:dyDescent="0.3">
      <c r="A59" s="20" t="s">
        <v>117</v>
      </c>
      <c r="B59" s="21">
        <v>89420</v>
      </c>
      <c r="C59" s="21">
        <v>1757</v>
      </c>
      <c r="D59" s="21">
        <v>512</v>
      </c>
      <c r="E59" s="21">
        <v>783102</v>
      </c>
      <c r="F59" s="21">
        <v>657549</v>
      </c>
      <c r="G59" s="21">
        <v>4</v>
      </c>
      <c r="H59" s="21" t="s">
        <v>32</v>
      </c>
      <c r="I59" s="21" t="s">
        <v>75</v>
      </c>
      <c r="J59" s="21">
        <v>23.57861775889063</v>
      </c>
      <c r="K59" s="21">
        <v>119.09409032634829</v>
      </c>
      <c r="L59" s="21" t="s">
        <v>27</v>
      </c>
      <c r="M59" s="12" t="s">
        <v>28</v>
      </c>
      <c r="N59" s="11"/>
    </row>
    <row r="60" spans="1:14" x14ac:dyDescent="0.3">
      <c r="A60" s="20" t="s">
        <v>118</v>
      </c>
      <c r="B60" s="21">
        <v>80080</v>
      </c>
      <c r="C60" s="21">
        <v>2283</v>
      </c>
      <c r="D60" s="21">
        <v>641</v>
      </c>
      <c r="E60" s="21">
        <v>617027</v>
      </c>
      <c r="F60" s="21">
        <v>510070</v>
      </c>
      <c r="G60" s="21">
        <v>12</v>
      </c>
      <c r="H60" s="21" t="s">
        <v>32</v>
      </c>
      <c r="I60" s="21" t="s">
        <v>43</v>
      </c>
      <c r="J60" s="21">
        <v>34.210789210789208</v>
      </c>
      <c r="K60" s="21">
        <v>120.96908267492699</v>
      </c>
      <c r="L60" s="21" t="s">
        <v>27</v>
      </c>
      <c r="M60" s="12" t="s">
        <v>28</v>
      </c>
      <c r="N60" s="11"/>
    </row>
    <row r="61" spans="1:14" x14ac:dyDescent="0.3">
      <c r="A61" s="20" t="s">
        <v>119</v>
      </c>
      <c r="B61" s="21">
        <v>94411</v>
      </c>
      <c r="C61" s="21">
        <v>2818</v>
      </c>
      <c r="D61" s="21">
        <v>465</v>
      </c>
      <c r="E61" s="21">
        <v>86909</v>
      </c>
      <c r="F61" s="21">
        <v>795950</v>
      </c>
      <c r="G61" s="21">
        <v>7</v>
      </c>
      <c r="H61" s="21" t="s">
        <v>45</v>
      </c>
      <c r="I61" s="21" t="s">
        <v>120</v>
      </c>
      <c r="J61" s="21">
        <v>35.81786020696741</v>
      </c>
      <c r="K61" s="21">
        <v>10.918901941076699</v>
      </c>
      <c r="L61" s="21" t="s">
        <v>27</v>
      </c>
      <c r="M61" s="12" t="s">
        <v>28</v>
      </c>
      <c r="N61" s="11"/>
    </row>
    <row r="62" spans="1:14" x14ac:dyDescent="0.3">
      <c r="A62" s="20" t="s">
        <v>121</v>
      </c>
      <c r="B62" s="21">
        <v>91753</v>
      </c>
      <c r="C62" s="21">
        <v>1732</v>
      </c>
      <c r="D62" s="21">
        <v>593</v>
      </c>
      <c r="E62" s="21">
        <v>846194</v>
      </c>
      <c r="F62" s="21">
        <v>691541</v>
      </c>
      <c r="G62" s="21">
        <v>12</v>
      </c>
      <c r="H62" s="21" t="s">
        <v>45</v>
      </c>
      <c r="I62" s="21" t="s">
        <v>122</v>
      </c>
      <c r="J62" s="21">
        <v>22.65212036663651</v>
      </c>
      <c r="K62" s="21">
        <v>122.3635330370867</v>
      </c>
      <c r="L62" s="21" t="s">
        <v>27</v>
      </c>
      <c r="M62" s="12" t="s">
        <v>28</v>
      </c>
      <c r="N62" s="11"/>
    </row>
    <row r="63" spans="1:14" x14ac:dyDescent="0.3">
      <c r="A63" s="20" t="s">
        <v>123</v>
      </c>
      <c r="B63" s="21">
        <v>82467</v>
      </c>
      <c r="C63" s="21">
        <v>525</v>
      </c>
      <c r="D63" s="21">
        <v>549</v>
      </c>
      <c r="E63" s="21">
        <v>148724</v>
      </c>
      <c r="F63" s="21">
        <v>798271</v>
      </c>
      <c r="G63" s="21">
        <v>8</v>
      </c>
      <c r="H63" s="21" t="s">
        <v>32</v>
      </c>
      <c r="I63" s="21" t="s">
        <v>15</v>
      </c>
      <c r="J63" s="21">
        <v>7.6394194041252863</v>
      </c>
      <c r="K63" s="21">
        <v>18.630765742460891</v>
      </c>
      <c r="L63" s="21" t="s">
        <v>27</v>
      </c>
      <c r="M63" s="12" t="s">
        <v>28</v>
      </c>
      <c r="N63" s="11"/>
    </row>
    <row r="64" spans="1:14" x14ac:dyDescent="0.3">
      <c r="A64" s="20" t="s">
        <v>124</v>
      </c>
      <c r="B64" s="21">
        <v>80438</v>
      </c>
      <c r="C64" s="21">
        <v>1294</v>
      </c>
      <c r="D64" s="21">
        <v>638</v>
      </c>
      <c r="E64" s="21">
        <v>750471</v>
      </c>
      <c r="F64" s="21">
        <v>892820</v>
      </c>
      <c r="G64" s="21">
        <v>9</v>
      </c>
      <c r="H64" s="21" t="s">
        <v>32</v>
      </c>
      <c r="I64" s="21" t="s">
        <v>125</v>
      </c>
      <c r="J64" s="21">
        <v>19.304308908724732</v>
      </c>
      <c r="K64" s="21">
        <v>84.056248739947577</v>
      </c>
      <c r="L64" s="21" t="s">
        <v>27</v>
      </c>
      <c r="M64" s="12" t="s">
        <v>28</v>
      </c>
      <c r="N64" s="11"/>
    </row>
    <row r="65" spans="1:14" x14ac:dyDescent="0.3">
      <c r="A65" s="20" t="s">
        <v>126</v>
      </c>
      <c r="B65" s="21">
        <v>109271</v>
      </c>
      <c r="C65" s="21">
        <v>1537</v>
      </c>
      <c r="D65" s="21">
        <v>586</v>
      </c>
      <c r="E65" s="21">
        <v>90028</v>
      </c>
      <c r="F65" s="21">
        <v>761579</v>
      </c>
      <c r="G65" s="21">
        <v>11</v>
      </c>
      <c r="H65" s="21" t="s">
        <v>14</v>
      </c>
      <c r="I65" s="21" t="s">
        <v>20</v>
      </c>
      <c r="J65" s="21">
        <v>16.879135360708698</v>
      </c>
      <c r="K65" s="21">
        <v>11.821229314358719</v>
      </c>
      <c r="L65" s="21" t="s">
        <v>27</v>
      </c>
      <c r="M65" s="12" t="s">
        <v>28</v>
      </c>
      <c r="N65" s="11"/>
    </row>
    <row r="66" spans="1:14" x14ac:dyDescent="0.3">
      <c r="A66" s="20" t="s">
        <v>127</v>
      </c>
      <c r="B66" s="21">
        <v>88011</v>
      </c>
      <c r="C66" s="21">
        <v>300</v>
      </c>
      <c r="D66" s="21">
        <v>839</v>
      </c>
      <c r="E66" s="21">
        <v>454096</v>
      </c>
      <c r="F66" s="21">
        <v>810432</v>
      </c>
      <c r="G66" s="21">
        <v>9</v>
      </c>
      <c r="H66" s="21" t="s">
        <v>19</v>
      </c>
      <c r="I66" s="21" t="s">
        <v>120</v>
      </c>
      <c r="J66" s="21">
        <v>4.0903977911851932</v>
      </c>
      <c r="K66" s="21">
        <v>56.031351180604908</v>
      </c>
      <c r="L66" s="21" t="s">
        <v>24</v>
      </c>
      <c r="M66" s="12" t="s">
        <v>21</v>
      </c>
      <c r="N66" s="11"/>
    </row>
    <row r="67" spans="1:14" x14ac:dyDescent="0.3">
      <c r="A67" s="20" t="s">
        <v>128</v>
      </c>
      <c r="B67" s="21">
        <v>82279</v>
      </c>
      <c r="C67" s="21">
        <v>2904</v>
      </c>
      <c r="D67" s="21">
        <v>641</v>
      </c>
      <c r="E67" s="21">
        <v>849564</v>
      </c>
      <c r="F67" s="21">
        <v>834956</v>
      </c>
      <c r="G67" s="21">
        <v>9</v>
      </c>
      <c r="H67" s="21" t="s">
        <v>45</v>
      </c>
      <c r="I67" s="21" t="s">
        <v>91</v>
      </c>
      <c r="J67" s="21">
        <v>42.35345592435494</v>
      </c>
      <c r="K67" s="21">
        <v>101.74955326987291</v>
      </c>
      <c r="L67" s="21" t="s">
        <v>27</v>
      </c>
      <c r="M67" s="12" t="s">
        <v>28</v>
      </c>
      <c r="N67" s="11"/>
    </row>
    <row r="68" spans="1:14" x14ac:dyDescent="0.3">
      <c r="A68" s="20" t="s">
        <v>129</v>
      </c>
      <c r="B68" s="21">
        <v>116507</v>
      </c>
      <c r="C68" s="21">
        <v>2665</v>
      </c>
      <c r="D68" s="21">
        <v>555</v>
      </c>
      <c r="E68" s="21">
        <v>720212</v>
      </c>
      <c r="F68" s="21">
        <v>323862</v>
      </c>
      <c r="G68" s="21">
        <v>5</v>
      </c>
      <c r="H68" s="21" t="s">
        <v>14</v>
      </c>
      <c r="I68" s="21" t="s">
        <v>113</v>
      </c>
      <c r="J68" s="21">
        <v>27.44899448101831</v>
      </c>
      <c r="K68" s="21">
        <v>222.38237273900609</v>
      </c>
      <c r="L68" s="21" t="s">
        <v>27</v>
      </c>
      <c r="M68" s="12" t="s">
        <v>28</v>
      </c>
      <c r="N68" s="11"/>
    </row>
    <row r="69" spans="1:14" x14ac:dyDescent="0.3">
      <c r="A69" s="20" t="s">
        <v>130</v>
      </c>
      <c r="B69" s="21">
        <v>74955</v>
      </c>
      <c r="C69" s="21">
        <v>934</v>
      </c>
      <c r="D69" s="21">
        <v>705</v>
      </c>
      <c r="E69" s="21">
        <v>52131</v>
      </c>
      <c r="F69" s="21">
        <v>581001</v>
      </c>
      <c r="G69" s="21">
        <v>12</v>
      </c>
      <c r="H69" s="21" t="s">
        <v>32</v>
      </c>
      <c r="I69" s="21" t="s">
        <v>79</v>
      </c>
      <c r="J69" s="21">
        <v>14.95297178306984</v>
      </c>
      <c r="K69" s="21">
        <v>8.9726179473012948</v>
      </c>
      <c r="L69" s="21" t="s">
        <v>16</v>
      </c>
      <c r="M69" s="12" t="s">
        <v>21</v>
      </c>
      <c r="N69" s="11"/>
    </row>
    <row r="70" spans="1:14" x14ac:dyDescent="0.3">
      <c r="A70" s="20" t="s">
        <v>131</v>
      </c>
      <c r="B70" s="21">
        <v>84451</v>
      </c>
      <c r="C70" s="21">
        <v>1136</v>
      </c>
      <c r="D70" s="21">
        <v>756</v>
      </c>
      <c r="E70" s="21">
        <v>158620</v>
      </c>
      <c r="F70" s="21">
        <v>701611</v>
      </c>
      <c r="G70" s="21">
        <v>5</v>
      </c>
      <c r="H70" s="21" t="s">
        <v>14</v>
      </c>
      <c r="I70" s="21" t="s">
        <v>39</v>
      </c>
      <c r="J70" s="21">
        <v>16.14190477318208</v>
      </c>
      <c r="K70" s="21">
        <v>22.607969373342211</v>
      </c>
      <c r="L70" s="21" t="s">
        <v>24</v>
      </c>
      <c r="M70" s="12" t="s">
        <v>21</v>
      </c>
      <c r="N70" s="11"/>
    </row>
    <row r="71" spans="1:14" x14ac:dyDescent="0.3">
      <c r="A71" s="20" t="s">
        <v>132</v>
      </c>
      <c r="B71" s="21">
        <v>92891</v>
      </c>
      <c r="C71" s="21">
        <v>2968</v>
      </c>
      <c r="D71" s="21">
        <v>714</v>
      </c>
      <c r="E71" s="21">
        <v>471985</v>
      </c>
      <c r="F71" s="21">
        <v>556966</v>
      </c>
      <c r="G71" s="21">
        <v>4</v>
      </c>
      <c r="H71" s="21" t="s">
        <v>14</v>
      </c>
      <c r="I71" s="21" t="s">
        <v>75</v>
      </c>
      <c r="J71" s="21">
        <v>38.341712329504468</v>
      </c>
      <c r="K71" s="21">
        <v>84.742156612791447</v>
      </c>
      <c r="L71" s="21" t="s">
        <v>16</v>
      </c>
      <c r="M71" s="12" t="s">
        <v>17</v>
      </c>
      <c r="N71" s="11"/>
    </row>
    <row r="72" spans="1:14" x14ac:dyDescent="0.3">
      <c r="A72" s="20" t="s">
        <v>133</v>
      </c>
      <c r="B72" s="21">
        <v>107864</v>
      </c>
      <c r="C72" s="21">
        <v>1631</v>
      </c>
      <c r="D72" s="21">
        <v>728</v>
      </c>
      <c r="E72" s="21">
        <v>560403</v>
      </c>
      <c r="F72" s="21">
        <v>841491</v>
      </c>
      <c r="G72" s="21">
        <v>9</v>
      </c>
      <c r="H72" s="21" t="s">
        <v>45</v>
      </c>
      <c r="I72" s="21" t="s">
        <v>69</v>
      </c>
      <c r="J72" s="21">
        <v>18.145071571608689</v>
      </c>
      <c r="K72" s="21">
        <v>66.596434186461877</v>
      </c>
      <c r="L72" s="21" t="s">
        <v>16</v>
      </c>
      <c r="M72" s="12" t="s">
        <v>21</v>
      </c>
      <c r="N72" s="11"/>
    </row>
    <row r="73" spans="1:14" x14ac:dyDescent="0.3">
      <c r="A73" s="20" t="s">
        <v>134</v>
      </c>
      <c r="B73" s="21">
        <v>75295</v>
      </c>
      <c r="C73" s="21">
        <v>935</v>
      </c>
      <c r="D73" s="21">
        <v>635</v>
      </c>
      <c r="E73" s="21">
        <v>564961</v>
      </c>
      <c r="F73" s="21">
        <v>709164</v>
      </c>
      <c r="G73" s="21">
        <v>9</v>
      </c>
      <c r="H73" s="21" t="s">
        <v>14</v>
      </c>
      <c r="I73" s="21" t="s">
        <v>41</v>
      </c>
      <c r="J73" s="21">
        <v>14.90138787436085</v>
      </c>
      <c r="K73" s="21">
        <v>79.665775476476526</v>
      </c>
      <c r="L73" s="21" t="s">
        <v>27</v>
      </c>
      <c r="M73" s="12" t="s">
        <v>28</v>
      </c>
      <c r="N73" s="11"/>
    </row>
    <row r="74" spans="1:14" x14ac:dyDescent="0.3">
      <c r="A74" s="20" t="s">
        <v>135</v>
      </c>
      <c r="B74" s="21">
        <v>119656</v>
      </c>
      <c r="C74" s="21">
        <v>2026</v>
      </c>
      <c r="D74" s="21">
        <v>526</v>
      </c>
      <c r="E74" s="21">
        <v>751811</v>
      </c>
      <c r="F74" s="21">
        <v>960458</v>
      </c>
      <c r="G74" s="21">
        <v>1</v>
      </c>
      <c r="H74" s="21" t="s">
        <v>45</v>
      </c>
      <c r="I74" s="21" t="s">
        <v>53</v>
      </c>
      <c r="J74" s="21">
        <v>20.318245637494151</v>
      </c>
      <c r="K74" s="21">
        <v>78.276301514485809</v>
      </c>
      <c r="L74" s="21" t="s">
        <v>27</v>
      </c>
      <c r="M74" s="12" t="s">
        <v>28</v>
      </c>
      <c r="N74" s="11"/>
    </row>
    <row r="75" spans="1:14" x14ac:dyDescent="0.3">
      <c r="A75" s="20" t="s">
        <v>136</v>
      </c>
      <c r="B75" s="21">
        <v>76950</v>
      </c>
      <c r="C75" s="21">
        <v>754</v>
      </c>
      <c r="D75" s="21">
        <v>529</v>
      </c>
      <c r="E75" s="21">
        <v>722233</v>
      </c>
      <c r="F75" s="21">
        <v>246063</v>
      </c>
      <c r="G75" s="21">
        <v>5</v>
      </c>
      <c r="H75" s="21" t="s">
        <v>32</v>
      </c>
      <c r="I75" s="21" t="s">
        <v>61</v>
      </c>
      <c r="J75" s="21">
        <v>11.75828460038986</v>
      </c>
      <c r="K75" s="21">
        <v>293.51548180750461</v>
      </c>
      <c r="L75" s="21" t="s">
        <v>27</v>
      </c>
      <c r="M75" s="12" t="s">
        <v>28</v>
      </c>
      <c r="N75" s="11"/>
    </row>
    <row r="76" spans="1:14" x14ac:dyDescent="0.3">
      <c r="A76" s="20" t="s">
        <v>137</v>
      </c>
      <c r="B76" s="21">
        <v>117136</v>
      </c>
      <c r="C76" s="21">
        <v>1399</v>
      </c>
      <c r="D76" s="21">
        <v>513</v>
      </c>
      <c r="E76" s="21">
        <v>400121</v>
      </c>
      <c r="F76" s="21">
        <v>226707</v>
      </c>
      <c r="G76" s="21">
        <v>8</v>
      </c>
      <c r="H76" s="21" t="s">
        <v>32</v>
      </c>
      <c r="I76" s="21" t="s">
        <v>46</v>
      </c>
      <c r="J76" s="21">
        <v>14.33205846195875</v>
      </c>
      <c r="K76" s="21">
        <v>176.49256529352871</v>
      </c>
      <c r="L76" s="21" t="s">
        <v>27</v>
      </c>
      <c r="M76" s="12" t="s">
        <v>28</v>
      </c>
      <c r="N76" s="11"/>
    </row>
    <row r="77" spans="1:14" x14ac:dyDescent="0.3">
      <c r="A77" s="20" t="s">
        <v>138</v>
      </c>
      <c r="B77" s="21">
        <v>92126</v>
      </c>
      <c r="C77" s="21">
        <v>1695</v>
      </c>
      <c r="D77" s="21">
        <v>741</v>
      </c>
      <c r="E77" s="21">
        <v>758223</v>
      </c>
      <c r="F77" s="21">
        <v>329477</v>
      </c>
      <c r="G77" s="21">
        <v>10</v>
      </c>
      <c r="H77" s="21" t="s">
        <v>14</v>
      </c>
      <c r="I77" s="21" t="s">
        <v>23</v>
      </c>
      <c r="J77" s="21">
        <v>22.078457764366199</v>
      </c>
      <c r="K77" s="21">
        <v>230.12926547224839</v>
      </c>
      <c r="L77" s="21" t="s">
        <v>16</v>
      </c>
      <c r="M77" s="12" t="s">
        <v>17</v>
      </c>
      <c r="N77" s="11"/>
    </row>
    <row r="78" spans="1:14" x14ac:dyDescent="0.3">
      <c r="A78" s="20" t="s">
        <v>139</v>
      </c>
      <c r="B78" s="21">
        <v>84542</v>
      </c>
      <c r="C78" s="21">
        <v>1079</v>
      </c>
      <c r="D78" s="21">
        <v>512</v>
      </c>
      <c r="E78" s="21">
        <v>771874</v>
      </c>
      <c r="F78" s="21">
        <v>633334</v>
      </c>
      <c r="G78" s="21">
        <v>5</v>
      </c>
      <c r="H78" s="21" t="s">
        <v>45</v>
      </c>
      <c r="I78" s="21" t="s">
        <v>140</v>
      </c>
      <c r="J78" s="21">
        <v>15.31546450285065</v>
      </c>
      <c r="K78" s="21">
        <v>121.8747138160907</v>
      </c>
      <c r="L78" s="21" t="s">
        <v>27</v>
      </c>
      <c r="M78" s="12" t="s">
        <v>28</v>
      </c>
      <c r="N78" s="11"/>
    </row>
    <row r="79" spans="1:14" x14ac:dyDescent="0.3">
      <c r="A79" s="20" t="s">
        <v>141</v>
      </c>
      <c r="B79" s="21">
        <v>74295</v>
      </c>
      <c r="C79" s="21">
        <v>1377</v>
      </c>
      <c r="D79" s="21">
        <v>589</v>
      </c>
      <c r="E79" s="21">
        <v>900684</v>
      </c>
      <c r="F79" s="21">
        <v>801245</v>
      </c>
      <c r="G79" s="21">
        <v>9</v>
      </c>
      <c r="H79" s="21" t="s">
        <v>45</v>
      </c>
      <c r="I79" s="21" t="s">
        <v>122</v>
      </c>
      <c r="J79" s="21">
        <v>22.241066020593578</v>
      </c>
      <c r="K79" s="21">
        <v>112.4105610643436</v>
      </c>
      <c r="L79" s="21" t="s">
        <v>27</v>
      </c>
      <c r="M79" s="12" t="s">
        <v>28</v>
      </c>
      <c r="N79" s="11"/>
    </row>
    <row r="80" spans="1:14" x14ac:dyDescent="0.3">
      <c r="A80" s="20" t="s">
        <v>142</v>
      </c>
      <c r="B80" s="21">
        <v>82214</v>
      </c>
      <c r="C80" s="21">
        <v>1175</v>
      </c>
      <c r="D80" s="21">
        <v>456</v>
      </c>
      <c r="E80" s="21">
        <v>766871</v>
      </c>
      <c r="F80" s="21">
        <v>930859</v>
      </c>
      <c r="G80" s="21">
        <v>1</v>
      </c>
      <c r="H80" s="21" t="s">
        <v>19</v>
      </c>
      <c r="I80" s="21" t="s">
        <v>51</v>
      </c>
      <c r="J80" s="21">
        <v>17.150363685017151</v>
      </c>
      <c r="K80" s="21">
        <v>82.383153624770245</v>
      </c>
      <c r="L80" s="21" t="s">
        <v>27</v>
      </c>
      <c r="M80" s="12" t="s">
        <v>28</v>
      </c>
      <c r="N80" s="11"/>
    </row>
    <row r="81" spans="1:14" x14ac:dyDescent="0.3">
      <c r="A81" s="20" t="s">
        <v>143</v>
      </c>
      <c r="B81" s="21">
        <v>97186</v>
      </c>
      <c r="C81" s="21">
        <v>502</v>
      </c>
      <c r="D81" s="21">
        <v>465</v>
      </c>
      <c r="E81" s="21">
        <v>850389</v>
      </c>
      <c r="F81" s="21">
        <v>452944</v>
      </c>
      <c r="G81" s="21">
        <v>10</v>
      </c>
      <c r="H81" s="21" t="s">
        <v>14</v>
      </c>
      <c r="I81" s="21" t="s">
        <v>69</v>
      </c>
      <c r="J81" s="21">
        <v>6.1984236412652027</v>
      </c>
      <c r="K81" s="21">
        <v>187.74705040799739</v>
      </c>
      <c r="L81" s="21" t="s">
        <v>27</v>
      </c>
      <c r="M81" s="12" t="s">
        <v>28</v>
      </c>
      <c r="N81" s="11"/>
    </row>
    <row r="82" spans="1:14" x14ac:dyDescent="0.3">
      <c r="A82" s="20" t="s">
        <v>144</v>
      </c>
      <c r="B82" s="21">
        <v>72027</v>
      </c>
      <c r="C82" s="21">
        <v>1021</v>
      </c>
      <c r="D82" s="21">
        <v>585</v>
      </c>
      <c r="E82" s="21">
        <v>194124</v>
      </c>
      <c r="F82" s="21">
        <v>616537</v>
      </c>
      <c r="G82" s="21">
        <v>1</v>
      </c>
      <c r="H82" s="21" t="s">
        <v>45</v>
      </c>
      <c r="I82" s="21" t="s">
        <v>145</v>
      </c>
      <c r="J82" s="21">
        <v>17.01028780873839</v>
      </c>
      <c r="K82" s="21">
        <v>31.486188176865301</v>
      </c>
      <c r="L82" s="21" t="s">
        <v>27</v>
      </c>
      <c r="M82" s="12" t="s">
        <v>28</v>
      </c>
      <c r="N82" s="11"/>
    </row>
    <row r="83" spans="1:14" x14ac:dyDescent="0.3">
      <c r="A83" s="20" t="s">
        <v>146</v>
      </c>
      <c r="B83" s="21">
        <v>113725</v>
      </c>
      <c r="C83" s="21">
        <v>426</v>
      </c>
      <c r="D83" s="21">
        <v>676</v>
      </c>
      <c r="E83" s="21">
        <v>279684</v>
      </c>
      <c r="F83" s="21">
        <v>430003</v>
      </c>
      <c r="G83" s="21">
        <v>4</v>
      </c>
      <c r="H83" s="21" t="s">
        <v>32</v>
      </c>
      <c r="I83" s="21" t="s">
        <v>79</v>
      </c>
      <c r="J83" s="21">
        <v>4.4950538579907668</v>
      </c>
      <c r="K83" s="21">
        <v>65.042336913928509</v>
      </c>
      <c r="L83" s="21" t="s">
        <v>16</v>
      </c>
      <c r="M83" s="12" t="s">
        <v>17</v>
      </c>
      <c r="N83" s="11"/>
    </row>
    <row r="84" spans="1:14" x14ac:dyDescent="0.3">
      <c r="A84" s="20" t="s">
        <v>147</v>
      </c>
      <c r="B84" s="21">
        <v>113203</v>
      </c>
      <c r="C84" s="21">
        <v>1581</v>
      </c>
      <c r="D84" s="21">
        <v>664</v>
      </c>
      <c r="E84" s="21">
        <v>263515</v>
      </c>
      <c r="F84" s="21">
        <v>508781</v>
      </c>
      <c r="G84" s="21">
        <v>1</v>
      </c>
      <c r="H84" s="21" t="s">
        <v>32</v>
      </c>
      <c r="I84" s="21" t="s">
        <v>49</v>
      </c>
      <c r="J84" s="21">
        <v>16.759273164138762</v>
      </c>
      <c r="K84" s="21">
        <v>51.793404234827953</v>
      </c>
      <c r="L84" s="21" t="s">
        <v>16</v>
      </c>
      <c r="M84" s="12" t="s">
        <v>17</v>
      </c>
      <c r="N84" s="11"/>
    </row>
    <row r="85" spans="1:14" x14ac:dyDescent="0.3">
      <c r="A85" s="20" t="s">
        <v>148</v>
      </c>
      <c r="B85" s="21">
        <v>110295</v>
      </c>
      <c r="C85" s="21">
        <v>892</v>
      </c>
      <c r="D85" s="21">
        <v>731</v>
      </c>
      <c r="E85" s="21">
        <v>397471</v>
      </c>
      <c r="F85" s="21">
        <v>995796</v>
      </c>
      <c r="G85" s="21">
        <v>6</v>
      </c>
      <c r="H85" s="21" t="s">
        <v>45</v>
      </c>
      <c r="I85" s="21" t="s">
        <v>105</v>
      </c>
      <c r="J85" s="21">
        <v>9.704882360941113</v>
      </c>
      <c r="K85" s="21">
        <v>39.914902249055032</v>
      </c>
      <c r="L85" s="21" t="s">
        <v>16</v>
      </c>
      <c r="M85" s="12" t="s">
        <v>21</v>
      </c>
      <c r="N85" s="11"/>
    </row>
    <row r="86" spans="1:14" x14ac:dyDescent="0.3">
      <c r="A86" s="20" t="s">
        <v>149</v>
      </c>
      <c r="B86" s="21">
        <v>93427</v>
      </c>
      <c r="C86" s="21">
        <v>2223</v>
      </c>
      <c r="D86" s="21">
        <v>458</v>
      </c>
      <c r="E86" s="21">
        <v>287056</v>
      </c>
      <c r="F86" s="21">
        <v>793483</v>
      </c>
      <c r="G86" s="21">
        <v>12</v>
      </c>
      <c r="H86" s="21" t="s">
        <v>45</v>
      </c>
      <c r="I86" s="21" t="s">
        <v>26</v>
      </c>
      <c r="J86" s="21">
        <v>28.552773823412931</v>
      </c>
      <c r="K86" s="21">
        <v>36.17670447886092</v>
      </c>
      <c r="L86" s="21" t="s">
        <v>27</v>
      </c>
      <c r="M86" s="12" t="s">
        <v>28</v>
      </c>
      <c r="N86" s="11"/>
    </row>
    <row r="87" spans="1:14" x14ac:dyDescent="0.3">
      <c r="A87" s="20" t="s">
        <v>150</v>
      </c>
      <c r="B87" s="21">
        <v>80135</v>
      </c>
      <c r="C87" s="21">
        <v>1669</v>
      </c>
      <c r="D87" s="21">
        <v>775</v>
      </c>
      <c r="E87" s="21">
        <v>913340</v>
      </c>
      <c r="F87" s="21">
        <v>221421</v>
      </c>
      <c r="G87" s="21">
        <v>5</v>
      </c>
      <c r="H87" s="21" t="s">
        <v>14</v>
      </c>
      <c r="I87" s="21" t="s">
        <v>113</v>
      </c>
      <c r="J87" s="21">
        <v>24.9928246084732</v>
      </c>
      <c r="K87" s="21">
        <v>412.49023353701767</v>
      </c>
      <c r="L87" s="21" t="s">
        <v>24</v>
      </c>
      <c r="M87" s="12" t="s">
        <v>17</v>
      </c>
      <c r="N87" s="11"/>
    </row>
    <row r="88" spans="1:14" x14ac:dyDescent="0.3">
      <c r="A88" s="20" t="s">
        <v>151</v>
      </c>
      <c r="B88" s="21">
        <v>117028</v>
      </c>
      <c r="C88" s="21">
        <v>1802</v>
      </c>
      <c r="D88" s="21">
        <v>755</v>
      </c>
      <c r="E88" s="21">
        <v>738389</v>
      </c>
      <c r="F88" s="21">
        <v>349415</v>
      </c>
      <c r="G88" s="21">
        <v>8</v>
      </c>
      <c r="H88" s="21" t="s">
        <v>19</v>
      </c>
      <c r="I88" s="21" t="s">
        <v>152</v>
      </c>
      <c r="J88" s="21">
        <v>18.477629285299241</v>
      </c>
      <c r="K88" s="21">
        <v>211.32149449794659</v>
      </c>
      <c r="L88" s="21" t="s">
        <v>24</v>
      </c>
      <c r="M88" s="12" t="s">
        <v>17</v>
      </c>
      <c r="N88" s="11"/>
    </row>
    <row r="89" spans="1:14" x14ac:dyDescent="0.3">
      <c r="A89" s="20" t="s">
        <v>153</v>
      </c>
      <c r="B89" s="21">
        <v>118946</v>
      </c>
      <c r="C89" s="21">
        <v>2661</v>
      </c>
      <c r="D89" s="21">
        <v>583</v>
      </c>
      <c r="E89" s="21">
        <v>918116</v>
      </c>
      <c r="F89" s="21">
        <v>477330</v>
      </c>
      <c r="G89" s="21">
        <v>5</v>
      </c>
      <c r="H89" s="21" t="s">
        <v>45</v>
      </c>
      <c r="I89" s="21" t="s">
        <v>49</v>
      </c>
      <c r="J89" s="21">
        <v>26.84579557109949</v>
      </c>
      <c r="K89" s="21">
        <v>192.3440806150881</v>
      </c>
      <c r="L89" s="21" t="s">
        <v>27</v>
      </c>
      <c r="M89" s="12" t="s">
        <v>28</v>
      </c>
      <c r="N89" s="11"/>
    </row>
    <row r="90" spans="1:14" x14ac:dyDescent="0.3">
      <c r="A90" s="20" t="s">
        <v>154</v>
      </c>
      <c r="B90" s="21">
        <v>105749</v>
      </c>
      <c r="C90" s="21">
        <v>520</v>
      </c>
      <c r="D90" s="21">
        <v>529</v>
      </c>
      <c r="E90" s="21">
        <v>907957</v>
      </c>
      <c r="F90" s="21">
        <v>508730</v>
      </c>
      <c r="G90" s="21">
        <v>1</v>
      </c>
      <c r="H90" s="21" t="s">
        <v>14</v>
      </c>
      <c r="I90" s="21" t="s">
        <v>120</v>
      </c>
      <c r="J90" s="21">
        <v>5.9007650190545542</v>
      </c>
      <c r="K90" s="21">
        <v>178.475222613174</v>
      </c>
      <c r="L90" s="21" t="s">
        <v>27</v>
      </c>
      <c r="M90" s="12" t="s">
        <v>28</v>
      </c>
      <c r="N90" s="11"/>
    </row>
    <row r="91" spans="1:14" x14ac:dyDescent="0.3">
      <c r="A91" s="20" t="s">
        <v>155</v>
      </c>
      <c r="B91" s="21">
        <v>74321</v>
      </c>
      <c r="C91" s="21">
        <v>2538</v>
      </c>
      <c r="D91" s="21">
        <v>650</v>
      </c>
      <c r="E91" s="21">
        <v>454292</v>
      </c>
      <c r="F91" s="21">
        <v>406767</v>
      </c>
      <c r="G91" s="21">
        <v>7</v>
      </c>
      <c r="H91" s="21" t="s">
        <v>19</v>
      </c>
      <c r="I91" s="21" t="s">
        <v>91</v>
      </c>
      <c r="J91" s="21">
        <v>40.978996515116847</v>
      </c>
      <c r="K91" s="21">
        <v>111.6835928184931</v>
      </c>
      <c r="L91" s="21" t="s">
        <v>16</v>
      </c>
      <c r="M91" s="12" t="s">
        <v>17</v>
      </c>
      <c r="N91" s="11"/>
    </row>
    <row r="92" spans="1:14" x14ac:dyDescent="0.3">
      <c r="A92" s="20" t="s">
        <v>156</v>
      </c>
      <c r="B92" s="21">
        <v>105448</v>
      </c>
      <c r="C92" s="21">
        <v>2787</v>
      </c>
      <c r="D92" s="21">
        <v>533</v>
      </c>
      <c r="E92" s="21">
        <v>558818</v>
      </c>
      <c r="F92" s="21">
        <v>454151</v>
      </c>
      <c r="G92" s="21">
        <v>7</v>
      </c>
      <c r="H92" s="21" t="s">
        <v>32</v>
      </c>
      <c r="I92" s="21" t="s">
        <v>157</v>
      </c>
      <c r="J92" s="21">
        <v>31.71610651695622</v>
      </c>
      <c r="K92" s="21">
        <v>123.0467399609381</v>
      </c>
      <c r="L92" s="21" t="s">
        <v>27</v>
      </c>
      <c r="M92" s="12" t="s">
        <v>28</v>
      </c>
      <c r="N92" s="11"/>
    </row>
    <row r="93" spans="1:14" x14ac:dyDescent="0.3">
      <c r="A93" s="20" t="s">
        <v>158</v>
      </c>
      <c r="B93" s="21">
        <v>101568</v>
      </c>
      <c r="C93" s="21">
        <v>487</v>
      </c>
      <c r="D93" s="21">
        <v>515</v>
      </c>
      <c r="E93" s="21">
        <v>263500</v>
      </c>
      <c r="F93" s="21">
        <v>795701</v>
      </c>
      <c r="G93" s="21">
        <v>11</v>
      </c>
      <c r="H93" s="21" t="s">
        <v>32</v>
      </c>
      <c r="I93" s="21" t="s">
        <v>108</v>
      </c>
      <c r="J93" s="21">
        <v>5.7537807183364844</v>
      </c>
      <c r="K93" s="21">
        <v>33.115454171856022</v>
      </c>
      <c r="L93" s="21" t="s">
        <v>27</v>
      </c>
      <c r="M93" s="12" t="s">
        <v>28</v>
      </c>
      <c r="N93" s="11"/>
    </row>
    <row r="94" spans="1:14" x14ac:dyDescent="0.3">
      <c r="A94" s="20" t="s">
        <v>159</v>
      </c>
      <c r="B94" s="21">
        <v>105564</v>
      </c>
      <c r="C94" s="21">
        <v>2041</v>
      </c>
      <c r="D94" s="21">
        <v>787</v>
      </c>
      <c r="E94" s="21">
        <v>945553</v>
      </c>
      <c r="F94" s="21">
        <v>375519</v>
      </c>
      <c r="G94" s="21">
        <v>12</v>
      </c>
      <c r="H94" s="21" t="s">
        <v>45</v>
      </c>
      <c r="I94" s="21" t="s">
        <v>99</v>
      </c>
      <c r="J94" s="21">
        <v>23.201091281118561</v>
      </c>
      <c r="K94" s="21">
        <v>251.79897688266109</v>
      </c>
      <c r="L94" s="21" t="s">
        <v>24</v>
      </c>
      <c r="M94" s="12" t="s">
        <v>17</v>
      </c>
      <c r="N94" s="11"/>
    </row>
    <row r="95" spans="1:14" x14ac:dyDescent="0.3">
      <c r="A95" s="20" t="s">
        <v>160</v>
      </c>
      <c r="B95" s="21">
        <v>95449</v>
      </c>
      <c r="C95" s="21">
        <v>2311</v>
      </c>
      <c r="D95" s="21">
        <v>534</v>
      </c>
      <c r="E95" s="21">
        <v>963157</v>
      </c>
      <c r="F95" s="21">
        <v>752402</v>
      </c>
      <c r="G95" s="21">
        <v>5</v>
      </c>
      <c r="H95" s="21" t="s">
        <v>19</v>
      </c>
      <c r="I95" s="21" t="s">
        <v>82</v>
      </c>
      <c r="J95" s="21">
        <v>29.054259342685619</v>
      </c>
      <c r="K95" s="21">
        <v>128.01095690867379</v>
      </c>
      <c r="L95" s="21" t="s">
        <v>27</v>
      </c>
      <c r="M95" s="12" t="s">
        <v>28</v>
      </c>
      <c r="N95" s="11"/>
    </row>
    <row r="96" spans="1:14" x14ac:dyDescent="0.3">
      <c r="A96" s="20" t="s">
        <v>161</v>
      </c>
      <c r="B96" s="21">
        <v>85303</v>
      </c>
      <c r="C96" s="21">
        <v>2229</v>
      </c>
      <c r="D96" s="21">
        <v>516</v>
      </c>
      <c r="E96" s="21">
        <v>742554</v>
      </c>
      <c r="F96" s="21">
        <v>520664</v>
      </c>
      <c r="G96" s="21">
        <v>6</v>
      </c>
      <c r="H96" s="21" t="s">
        <v>14</v>
      </c>
      <c r="I96" s="21" t="s">
        <v>33</v>
      </c>
      <c r="J96" s="21">
        <v>31.356458741193158</v>
      </c>
      <c r="K96" s="21">
        <v>142.61673555306299</v>
      </c>
      <c r="L96" s="21" t="s">
        <v>27</v>
      </c>
      <c r="M96" s="12" t="s">
        <v>28</v>
      </c>
      <c r="N96" s="11"/>
    </row>
    <row r="97" spans="1:14" x14ac:dyDescent="0.3">
      <c r="A97" s="20" t="s">
        <v>162</v>
      </c>
      <c r="B97" s="21">
        <v>77994</v>
      </c>
      <c r="C97" s="21">
        <v>2474</v>
      </c>
      <c r="D97" s="21">
        <v>681</v>
      </c>
      <c r="E97" s="21">
        <v>432566</v>
      </c>
      <c r="F97" s="21">
        <v>369245</v>
      </c>
      <c r="G97" s="21">
        <v>3</v>
      </c>
      <c r="H97" s="21" t="s">
        <v>32</v>
      </c>
      <c r="I97" s="21" t="s">
        <v>23</v>
      </c>
      <c r="J97" s="21">
        <v>38.064466497422877</v>
      </c>
      <c r="K97" s="21">
        <v>117.1487765575702</v>
      </c>
      <c r="L97" s="21" t="s">
        <v>16</v>
      </c>
      <c r="M97" s="12" t="s">
        <v>17</v>
      </c>
      <c r="N97" s="11"/>
    </row>
    <row r="98" spans="1:14" x14ac:dyDescent="0.3">
      <c r="A98" s="20" t="s">
        <v>163</v>
      </c>
      <c r="B98" s="21">
        <v>95375</v>
      </c>
      <c r="C98" s="21">
        <v>1923</v>
      </c>
      <c r="D98" s="21">
        <v>809</v>
      </c>
      <c r="E98" s="21">
        <v>189540</v>
      </c>
      <c r="F98" s="21">
        <v>594670</v>
      </c>
      <c r="G98" s="21">
        <v>12</v>
      </c>
      <c r="H98" s="21" t="s">
        <v>45</v>
      </c>
      <c r="I98" s="21" t="s">
        <v>49</v>
      </c>
      <c r="J98" s="21">
        <v>24.19501965923984</v>
      </c>
      <c r="K98" s="21">
        <v>31.873139724553109</v>
      </c>
      <c r="L98" s="21" t="s">
        <v>24</v>
      </c>
      <c r="M98" s="12" t="s">
        <v>21</v>
      </c>
      <c r="N98" s="11"/>
    </row>
    <row r="99" spans="1:14" x14ac:dyDescent="0.3">
      <c r="A99" s="20" t="s">
        <v>164</v>
      </c>
      <c r="B99" s="21">
        <v>112641</v>
      </c>
      <c r="C99" s="21">
        <v>2107</v>
      </c>
      <c r="D99" s="21">
        <v>543</v>
      </c>
      <c r="E99" s="21">
        <v>472076</v>
      </c>
      <c r="F99" s="21">
        <v>515448</v>
      </c>
      <c r="G99" s="21">
        <v>5</v>
      </c>
      <c r="H99" s="21" t="s">
        <v>45</v>
      </c>
      <c r="I99" s="21" t="s">
        <v>59</v>
      </c>
      <c r="J99" s="21">
        <v>22.446533677790509</v>
      </c>
      <c r="K99" s="21">
        <v>91.585572162468381</v>
      </c>
      <c r="L99" s="21" t="s">
        <v>27</v>
      </c>
      <c r="M99" s="12" t="s">
        <v>28</v>
      </c>
      <c r="N99" s="11"/>
    </row>
    <row r="100" spans="1:14" x14ac:dyDescent="0.3">
      <c r="A100" s="20" t="s">
        <v>165</v>
      </c>
      <c r="B100" s="21">
        <v>97194</v>
      </c>
      <c r="C100" s="21">
        <v>827</v>
      </c>
      <c r="D100" s="21">
        <v>484</v>
      </c>
      <c r="E100" s="21">
        <v>127731</v>
      </c>
      <c r="F100" s="21">
        <v>298545</v>
      </c>
      <c r="G100" s="21">
        <v>4</v>
      </c>
      <c r="H100" s="21" t="s">
        <v>32</v>
      </c>
      <c r="I100" s="21" t="s">
        <v>41</v>
      </c>
      <c r="J100" s="21">
        <v>10.21050682140873</v>
      </c>
      <c r="K100" s="21">
        <v>42.784504848515297</v>
      </c>
      <c r="L100" s="21" t="s">
        <v>27</v>
      </c>
      <c r="M100" s="12" t="s">
        <v>28</v>
      </c>
      <c r="N100" s="11"/>
    </row>
    <row r="101" spans="1:14" x14ac:dyDescent="0.3">
      <c r="A101" s="20" t="s">
        <v>166</v>
      </c>
      <c r="B101" s="21">
        <v>114617</v>
      </c>
      <c r="C101" s="21">
        <v>2673</v>
      </c>
      <c r="D101" s="21">
        <v>562</v>
      </c>
      <c r="E101" s="21">
        <v>716275</v>
      </c>
      <c r="F101" s="21">
        <v>487750</v>
      </c>
      <c r="G101" s="21">
        <v>3</v>
      </c>
      <c r="H101" s="21" t="s">
        <v>14</v>
      </c>
      <c r="I101" s="21" t="s">
        <v>53</v>
      </c>
      <c r="J101" s="21">
        <v>27.98537738729857</v>
      </c>
      <c r="K101" s="21">
        <v>146.8528959507945</v>
      </c>
      <c r="L101" s="21" t="s">
        <v>27</v>
      </c>
      <c r="M101" s="12" t="s">
        <v>28</v>
      </c>
      <c r="N101" s="11"/>
    </row>
    <row r="102" spans="1:14" x14ac:dyDescent="0.3">
      <c r="A102" s="20" t="s">
        <v>167</v>
      </c>
      <c r="B102" s="21">
        <v>105580</v>
      </c>
      <c r="C102" s="21">
        <v>2078</v>
      </c>
      <c r="D102" s="21">
        <v>501</v>
      </c>
      <c r="E102" s="21">
        <v>434719</v>
      </c>
      <c r="F102" s="21">
        <v>505856</v>
      </c>
      <c r="G102" s="21">
        <v>6</v>
      </c>
      <c r="H102" s="21" t="s">
        <v>45</v>
      </c>
      <c r="I102" s="21" t="s">
        <v>23</v>
      </c>
      <c r="J102" s="21">
        <v>23.618109490433788</v>
      </c>
      <c r="K102" s="21">
        <v>85.937302315283404</v>
      </c>
      <c r="L102" s="21" t="s">
        <v>27</v>
      </c>
      <c r="M102" s="12" t="s">
        <v>28</v>
      </c>
      <c r="N102" s="11"/>
    </row>
    <row r="103" spans="1:14" x14ac:dyDescent="0.3">
      <c r="A103" s="20" t="s">
        <v>168</v>
      </c>
      <c r="B103" s="21">
        <v>88053</v>
      </c>
      <c r="C103" s="21">
        <v>2772</v>
      </c>
      <c r="D103" s="21">
        <v>633</v>
      </c>
      <c r="E103" s="21">
        <v>340987</v>
      </c>
      <c r="F103" s="21">
        <v>999233</v>
      </c>
      <c r="G103" s="21">
        <v>9</v>
      </c>
      <c r="H103" s="21" t="s">
        <v>14</v>
      </c>
      <c r="I103" s="21" t="s">
        <v>157</v>
      </c>
      <c r="J103" s="21">
        <v>37.777247793942287</v>
      </c>
      <c r="K103" s="21">
        <v>34.124873778187869</v>
      </c>
      <c r="L103" s="21" t="s">
        <v>27</v>
      </c>
      <c r="M103" s="12" t="s">
        <v>28</v>
      </c>
      <c r="N103" s="11"/>
    </row>
    <row r="104" spans="1:14" x14ac:dyDescent="0.3">
      <c r="A104" s="20" t="s">
        <v>169</v>
      </c>
      <c r="B104" s="21">
        <v>75622</v>
      </c>
      <c r="C104" s="21">
        <v>469</v>
      </c>
      <c r="D104" s="21">
        <v>810</v>
      </c>
      <c r="E104" s="21">
        <v>938014</v>
      </c>
      <c r="F104" s="21">
        <v>286636</v>
      </c>
      <c r="G104" s="21">
        <v>7</v>
      </c>
      <c r="H104" s="21" t="s">
        <v>45</v>
      </c>
      <c r="I104" s="21" t="s">
        <v>51</v>
      </c>
      <c r="J104" s="21">
        <v>7.4422787019650372</v>
      </c>
      <c r="K104" s="21">
        <v>327.24919409983391</v>
      </c>
      <c r="L104" s="21" t="s">
        <v>24</v>
      </c>
      <c r="M104" s="12" t="s">
        <v>17</v>
      </c>
      <c r="N104" s="11"/>
    </row>
    <row r="105" spans="1:14" x14ac:dyDescent="0.3">
      <c r="A105" s="20" t="s">
        <v>170</v>
      </c>
      <c r="B105" s="21">
        <v>86918</v>
      </c>
      <c r="C105" s="21">
        <v>717</v>
      </c>
      <c r="D105" s="21">
        <v>804</v>
      </c>
      <c r="E105" s="21">
        <v>974535</v>
      </c>
      <c r="F105" s="21">
        <v>261882</v>
      </c>
      <c r="G105" s="21">
        <v>12</v>
      </c>
      <c r="H105" s="21" t="s">
        <v>32</v>
      </c>
      <c r="I105" s="21" t="s">
        <v>69</v>
      </c>
      <c r="J105" s="21">
        <v>9.8989852504659552</v>
      </c>
      <c r="K105" s="21">
        <v>372.12752308291522</v>
      </c>
      <c r="L105" s="21" t="s">
        <v>24</v>
      </c>
      <c r="M105" s="12" t="s">
        <v>17</v>
      </c>
      <c r="N105" s="11"/>
    </row>
    <row r="106" spans="1:14" x14ac:dyDescent="0.3">
      <c r="A106" s="20" t="s">
        <v>171</v>
      </c>
      <c r="B106" s="21">
        <v>106932</v>
      </c>
      <c r="C106" s="21">
        <v>2519</v>
      </c>
      <c r="D106" s="21">
        <v>598</v>
      </c>
      <c r="E106" s="21">
        <v>649425</v>
      </c>
      <c r="F106" s="21">
        <v>689873</v>
      </c>
      <c r="G106" s="21">
        <v>7</v>
      </c>
      <c r="H106" s="21" t="s">
        <v>45</v>
      </c>
      <c r="I106" s="21" t="s">
        <v>172</v>
      </c>
      <c r="J106" s="21">
        <v>28.268432274716641</v>
      </c>
      <c r="K106" s="21">
        <v>94.13689186270517</v>
      </c>
      <c r="L106" s="21" t="s">
        <v>27</v>
      </c>
      <c r="M106" s="12" t="s">
        <v>28</v>
      </c>
      <c r="N106" s="11"/>
    </row>
    <row r="107" spans="1:14" x14ac:dyDescent="0.3">
      <c r="A107" s="20" t="s">
        <v>173</v>
      </c>
      <c r="B107" s="21">
        <v>110947</v>
      </c>
      <c r="C107" s="21">
        <v>470</v>
      </c>
      <c r="D107" s="21">
        <v>845</v>
      </c>
      <c r="E107" s="21">
        <v>578121</v>
      </c>
      <c r="F107" s="21">
        <v>639187</v>
      </c>
      <c r="G107" s="21">
        <v>6</v>
      </c>
      <c r="H107" s="21" t="s">
        <v>14</v>
      </c>
      <c r="I107" s="21" t="s">
        <v>46</v>
      </c>
      <c r="J107" s="21">
        <v>5.0835083418208704</v>
      </c>
      <c r="K107" s="21">
        <v>90.446301317141931</v>
      </c>
      <c r="L107" s="21" t="s">
        <v>24</v>
      </c>
      <c r="M107" s="12" t="s">
        <v>17</v>
      </c>
      <c r="N107" s="11"/>
    </row>
    <row r="108" spans="1:14" x14ac:dyDescent="0.3">
      <c r="A108" s="20" t="s">
        <v>174</v>
      </c>
      <c r="B108" s="21">
        <v>89155</v>
      </c>
      <c r="C108" s="21">
        <v>1016</v>
      </c>
      <c r="D108" s="21">
        <v>452</v>
      </c>
      <c r="E108" s="21">
        <v>889481</v>
      </c>
      <c r="F108" s="21">
        <v>473868</v>
      </c>
      <c r="G108" s="21">
        <v>5</v>
      </c>
      <c r="H108" s="21" t="s">
        <v>32</v>
      </c>
      <c r="I108" s="21" t="s">
        <v>33</v>
      </c>
      <c r="J108" s="21">
        <v>13.675060288262021</v>
      </c>
      <c r="K108" s="21">
        <v>187.70649210328611</v>
      </c>
      <c r="L108" s="21" t="s">
        <v>27</v>
      </c>
      <c r="M108" s="12" t="s">
        <v>28</v>
      </c>
      <c r="N108" s="11"/>
    </row>
    <row r="109" spans="1:14" x14ac:dyDescent="0.3">
      <c r="A109" s="20" t="s">
        <v>175</v>
      </c>
      <c r="B109" s="21">
        <v>92709</v>
      </c>
      <c r="C109" s="21">
        <v>893</v>
      </c>
      <c r="D109" s="21">
        <v>654</v>
      </c>
      <c r="E109" s="21">
        <v>869802</v>
      </c>
      <c r="F109" s="21">
        <v>295858</v>
      </c>
      <c r="G109" s="21">
        <v>9</v>
      </c>
      <c r="H109" s="21" t="s">
        <v>32</v>
      </c>
      <c r="I109" s="21" t="s">
        <v>72</v>
      </c>
      <c r="J109" s="21">
        <v>11.558748341584961</v>
      </c>
      <c r="K109" s="21">
        <v>293.99306424027742</v>
      </c>
      <c r="L109" s="21" t="s">
        <v>16</v>
      </c>
      <c r="M109" s="12" t="s">
        <v>17</v>
      </c>
      <c r="N109" s="11"/>
    </row>
    <row r="110" spans="1:14" x14ac:dyDescent="0.3">
      <c r="A110" s="20" t="s">
        <v>176</v>
      </c>
      <c r="B110" s="21">
        <v>112982</v>
      </c>
      <c r="C110" s="21">
        <v>2350</v>
      </c>
      <c r="D110" s="21">
        <v>777</v>
      </c>
      <c r="E110" s="21">
        <v>393919</v>
      </c>
      <c r="F110" s="21">
        <v>226875</v>
      </c>
      <c r="G110" s="21">
        <v>5</v>
      </c>
      <c r="H110" s="21" t="s">
        <v>19</v>
      </c>
      <c r="I110" s="21" t="s">
        <v>55</v>
      </c>
      <c r="J110" s="21">
        <v>24.95972809828114</v>
      </c>
      <c r="K110" s="21">
        <v>173.62820936639119</v>
      </c>
      <c r="L110" s="21" t="s">
        <v>24</v>
      </c>
      <c r="M110" s="12" t="s">
        <v>17</v>
      </c>
      <c r="N110" s="11"/>
    </row>
    <row r="111" spans="1:14" x14ac:dyDescent="0.3">
      <c r="A111" s="20" t="s">
        <v>177</v>
      </c>
      <c r="B111" s="21">
        <v>84532</v>
      </c>
      <c r="C111" s="21">
        <v>1325</v>
      </c>
      <c r="D111" s="21">
        <v>848</v>
      </c>
      <c r="E111" s="21">
        <v>221857</v>
      </c>
      <c r="F111" s="21">
        <v>620063</v>
      </c>
      <c r="G111" s="21">
        <v>12</v>
      </c>
      <c r="H111" s="21" t="s">
        <v>32</v>
      </c>
      <c r="I111" s="21" t="s">
        <v>178</v>
      </c>
      <c r="J111" s="21">
        <v>18.809444943926561</v>
      </c>
      <c r="K111" s="21">
        <v>35.779751412356489</v>
      </c>
      <c r="L111" s="21" t="s">
        <v>24</v>
      </c>
      <c r="M111" s="12" t="s">
        <v>21</v>
      </c>
      <c r="N111" s="11"/>
    </row>
    <row r="112" spans="1:14" x14ac:dyDescent="0.3">
      <c r="A112" s="20" t="s">
        <v>179</v>
      </c>
      <c r="B112" s="21">
        <v>103683</v>
      </c>
      <c r="C112" s="21">
        <v>1234</v>
      </c>
      <c r="D112" s="21">
        <v>698</v>
      </c>
      <c r="E112" s="21">
        <v>618351</v>
      </c>
      <c r="F112" s="21">
        <v>770629</v>
      </c>
      <c r="G112" s="21">
        <v>5</v>
      </c>
      <c r="H112" s="21" t="s">
        <v>45</v>
      </c>
      <c r="I112" s="21" t="s">
        <v>46</v>
      </c>
      <c r="J112" s="21">
        <v>14.28199415526171</v>
      </c>
      <c r="K112" s="21">
        <v>80.239778155247208</v>
      </c>
      <c r="L112" s="21" t="s">
        <v>16</v>
      </c>
      <c r="M112" s="12" t="s">
        <v>17</v>
      </c>
      <c r="N112" s="11"/>
    </row>
    <row r="113" spans="1:14" x14ac:dyDescent="0.3">
      <c r="A113" s="20" t="s">
        <v>180</v>
      </c>
      <c r="B113" s="21">
        <v>109332</v>
      </c>
      <c r="C113" s="21">
        <v>1459</v>
      </c>
      <c r="D113" s="21">
        <v>620</v>
      </c>
      <c r="E113" s="21">
        <v>842285</v>
      </c>
      <c r="F113" s="21">
        <v>873856</v>
      </c>
      <c r="G113" s="21">
        <v>2</v>
      </c>
      <c r="H113" s="21" t="s">
        <v>14</v>
      </c>
      <c r="I113" s="21" t="s">
        <v>69</v>
      </c>
      <c r="J113" s="21">
        <v>16.01360992207222</v>
      </c>
      <c r="K113" s="21">
        <v>96.387162186904945</v>
      </c>
      <c r="L113" s="21" t="s">
        <v>27</v>
      </c>
      <c r="M113" s="12" t="s">
        <v>28</v>
      </c>
      <c r="N113" s="11"/>
    </row>
    <row r="114" spans="1:14" x14ac:dyDescent="0.3">
      <c r="A114" s="20" t="s">
        <v>181</v>
      </c>
      <c r="B114" s="21">
        <v>73147</v>
      </c>
      <c r="C114" s="21">
        <v>618</v>
      </c>
      <c r="D114" s="21">
        <v>487</v>
      </c>
      <c r="E114" s="21">
        <v>669838</v>
      </c>
      <c r="F114" s="21">
        <v>684567</v>
      </c>
      <c r="G114" s="21">
        <v>5</v>
      </c>
      <c r="H114" s="21" t="s">
        <v>32</v>
      </c>
      <c r="I114" s="21" t="s">
        <v>59</v>
      </c>
      <c r="J114" s="21">
        <v>10.138488249688979</v>
      </c>
      <c r="K114" s="21">
        <v>97.848420972673239</v>
      </c>
      <c r="L114" s="21" t="s">
        <v>27</v>
      </c>
      <c r="M114" s="12" t="s">
        <v>28</v>
      </c>
      <c r="N114" s="11"/>
    </row>
    <row r="115" spans="1:14" x14ac:dyDescent="0.3">
      <c r="A115" s="20" t="s">
        <v>182</v>
      </c>
      <c r="B115" s="21">
        <v>115277</v>
      </c>
      <c r="C115" s="21">
        <v>1521</v>
      </c>
      <c r="D115" s="21">
        <v>646</v>
      </c>
      <c r="E115" s="21">
        <v>231830</v>
      </c>
      <c r="F115" s="21">
        <v>606829</v>
      </c>
      <c r="G115" s="21">
        <v>12</v>
      </c>
      <c r="H115" s="21" t="s">
        <v>45</v>
      </c>
      <c r="I115" s="21" t="s">
        <v>122</v>
      </c>
      <c r="J115" s="21">
        <v>15.833167067151299</v>
      </c>
      <c r="K115" s="21">
        <v>38.203513675186912</v>
      </c>
      <c r="L115" s="21" t="s">
        <v>27</v>
      </c>
      <c r="M115" s="12" t="s">
        <v>28</v>
      </c>
      <c r="N115" s="11"/>
    </row>
    <row r="116" spans="1:14" x14ac:dyDescent="0.3">
      <c r="A116" s="20" t="s">
        <v>183</v>
      </c>
      <c r="B116" s="21">
        <v>81123</v>
      </c>
      <c r="C116" s="21">
        <v>1069</v>
      </c>
      <c r="D116" s="21">
        <v>576</v>
      </c>
      <c r="E116" s="21">
        <v>745828</v>
      </c>
      <c r="F116" s="21">
        <v>969845</v>
      </c>
      <c r="G116" s="21">
        <v>7</v>
      </c>
      <c r="H116" s="21" t="s">
        <v>14</v>
      </c>
      <c r="I116" s="21" t="s">
        <v>39</v>
      </c>
      <c r="J116" s="21">
        <v>15.81302466624755</v>
      </c>
      <c r="K116" s="21">
        <v>76.901772963721001</v>
      </c>
      <c r="L116" s="21" t="s">
        <v>27</v>
      </c>
      <c r="M116" s="12" t="s">
        <v>28</v>
      </c>
      <c r="N116" s="11"/>
    </row>
    <row r="117" spans="1:14" x14ac:dyDescent="0.3">
      <c r="A117" s="20" t="s">
        <v>184</v>
      </c>
      <c r="B117" s="21">
        <v>101574</v>
      </c>
      <c r="C117" s="21">
        <v>1305</v>
      </c>
      <c r="D117" s="21">
        <v>792</v>
      </c>
      <c r="E117" s="21">
        <v>677078</v>
      </c>
      <c r="F117" s="21">
        <v>593349</v>
      </c>
      <c r="G117" s="21">
        <v>7</v>
      </c>
      <c r="H117" s="21" t="s">
        <v>14</v>
      </c>
      <c r="I117" s="21" t="s">
        <v>26</v>
      </c>
      <c r="J117" s="21">
        <v>15.41733120680489</v>
      </c>
      <c r="K117" s="21">
        <v>114.1112566128872</v>
      </c>
      <c r="L117" s="21" t="s">
        <v>24</v>
      </c>
      <c r="M117" s="12" t="s">
        <v>17</v>
      </c>
      <c r="N117" s="11"/>
    </row>
    <row r="118" spans="1:14" x14ac:dyDescent="0.3">
      <c r="A118" s="20" t="s">
        <v>185</v>
      </c>
      <c r="B118" s="21">
        <v>74753</v>
      </c>
      <c r="C118" s="21">
        <v>1135</v>
      </c>
      <c r="D118" s="21">
        <v>629</v>
      </c>
      <c r="E118" s="21">
        <v>816995</v>
      </c>
      <c r="F118" s="21">
        <v>851084</v>
      </c>
      <c r="G118" s="21">
        <v>1</v>
      </c>
      <c r="H118" s="21" t="s">
        <v>19</v>
      </c>
      <c r="I118" s="21" t="s">
        <v>43</v>
      </c>
      <c r="J118" s="21">
        <v>18.220004548312438</v>
      </c>
      <c r="K118" s="21">
        <v>95.994637427092982</v>
      </c>
      <c r="L118" s="21" t="s">
        <v>27</v>
      </c>
      <c r="M118" s="12" t="s">
        <v>28</v>
      </c>
      <c r="N118" s="11"/>
    </row>
    <row r="119" spans="1:14" x14ac:dyDescent="0.3">
      <c r="A119" s="20" t="s">
        <v>186</v>
      </c>
      <c r="B119" s="21">
        <v>90888</v>
      </c>
      <c r="C119" s="21">
        <v>1205</v>
      </c>
      <c r="D119" s="21">
        <v>598</v>
      </c>
      <c r="E119" s="21">
        <v>200431</v>
      </c>
      <c r="F119" s="21">
        <v>533804</v>
      </c>
      <c r="G119" s="21">
        <v>5</v>
      </c>
      <c r="H119" s="21" t="s">
        <v>45</v>
      </c>
      <c r="I119" s="21" t="s">
        <v>187</v>
      </c>
      <c r="J119" s="21">
        <v>15.909691048323211</v>
      </c>
      <c r="K119" s="21">
        <v>37.547676675334017</v>
      </c>
      <c r="L119" s="21" t="s">
        <v>27</v>
      </c>
      <c r="M119" s="12" t="s">
        <v>28</v>
      </c>
      <c r="N119" s="11"/>
    </row>
    <row r="120" spans="1:14" x14ac:dyDescent="0.3">
      <c r="A120" s="20" t="s">
        <v>188</v>
      </c>
      <c r="B120" s="21">
        <v>89367</v>
      </c>
      <c r="C120" s="21">
        <v>1375</v>
      </c>
      <c r="D120" s="21">
        <v>797</v>
      </c>
      <c r="E120" s="21">
        <v>780541</v>
      </c>
      <c r="F120" s="21">
        <v>770584</v>
      </c>
      <c r="G120" s="21">
        <v>11</v>
      </c>
      <c r="H120" s="21" t="s">
        <v>14</v>
      </c>
      <c r="I120" s="21" t="s">
        <v>20</v>
      </c>
      <c r="J120" s="21">
        <v>18.463191110812719</v>
      </c>
      <c r="K120" s="21">
        <v>101.2921368728134</v>
      </c>
      <c r="L120" s="21" t="s">
        <v>24</v>
      </c>
      <c r="M120" s="12" t="s">
        <v>17</v>
      </c>
      <c r="N120" s="11"/>
    </row>
    <row r="121" spans="1:14" x14ac:dyDescent="0.3">
      <c r="A121" s="20" t="s">
        <v>189</v>
      </c>
      <c r="B121" s="21">
        <v>81967</v>
      </c>
      <c r="C121" s="21">
        <v>1054</v>
      </c>
      <c r="D121" s="21">
        <v>478</v>
      </c>
      <c r="E121" s="21">
        <v>753599</v>
      </c>
      <c r="F121" s="21">
        <v>840206</v>
      </c>
      <c r="G121" s="21">
        <v>10</v>
      </c>
      <c r="H121" s="21" t="s">
        <v>14</v>
      </c>
      <c r="I121" s="21" t="s">
        <v>79</v>
      </c>
      <c r="J121" s="21">
        <v>15.43060011956031</v>
      </c>
      <c r="K121" s="21">
        <v>89.69217072955918</v>
      </c>
      <c r="L121" s="21" t="s">
        <v>27</v>
      </c>
      <c r="M121" s="12" t="s">
        <v>28</v>
      </c>
      <c r="N121" s="11"/>
    </row>
    <row r="122" spans="1:14" x14ac:dyDescent="0.3">
      <c r="A122" s="20" t="s">
        <v>190</v>
      </c>
      <c r="B122" s="21">
        <v>77783</v>
      </c>
      <c r="C122" s="21">
        <v>520</v>
      </c>
      <c r="D122" s="21">
        <v>774</v>
      </c>
      <c r="E122" s="21">
        <v>213454</v>
      </c>
      <c r="F122" s="21">
        <v>703143</v>
      </c>
      <c r="G122" s="21">
        <v>7</v>
      </c>
      <c r="H122" s="21" t="s">
        <v>32</v>
      </c>
      <c r="I122" s="21" t="s">
        <v>91</v>
      </c>
      <c r="J122" s="21">
        <v>8.0223185014720428</v>
      </c>
      <c r="K122" s="21">
        <v>30.357125079820179</v>
      </c>
      <c r="L122" s="21" t="s">
        <v>24</v>
      </c>
      <c r="M122" s="12" t="s">
        <v>21</v>
      </c>
      <c r="N122" s="11"/>
    </row>
    <row r="123" spans="1:14" x14ac:dyDescent="0.3">
      <c r="A123" s="20" t="s">
        <v>191</v>
      </c>
      <c r="B123" s="21">
        <v>103913</v>
      </c>
      <c r="C123" s="21">
        <v>2602</v>
      </c>
      <c r="D123" s="21">
        <v>581</v>
      </c>
      <c r="E123" s="21">
        <v>442997</v>
      </c>
      <c r="F123" s="21">
        <v>517839</v>
      </c>
      <c r="G123" s="21">
        <v>11</v>
      </c>
      <c r="H123" s="21" t="s">
        <v>19</v>
      </c>
      <c r="I123" s="21" t="s">
        <v>66</v>
      </c>
      <c r="J123" s="21">
        <v>30.04821340929432</v>
      </c>
      <c r="K123" s="21">
        <v>85.54724537935536</v>
      </c>
      <c r="L123" s="21" t="s">
        <v>27</v>
      </c>
      <c r="M123" s="12" t="s">
        <v>28</v>
      </c>
      <c r="N123" s="11"/>
    </row>
    <row r="124" spans="1:14" x14ac:dyDescent="0.3">
      <c r="A124" s="20" t="s">
        <v>192</v>
      </c>
      <c r="B124" s="21">
        <v>111291</v>
      </c>
      <c r="C124" s="21">
        <v>1173</v>
      </c>
      <c r="D124" s="21">
        <v>612</v>
      </c>
      <c r="E124" s="21">
        <v>887939</v>
      </c>
      <c r="F124" s="21">
        <v>960045</v>
      </c>
      <c r="G124" s="21">
        <v>11</v>
      </c>
      <c r="H124" s="21" t="s">
        <v>19</v>
      </c>
      <c r="I124" s="21" t="s">
        <v>187</v>
      </c>
      <c r="J124" s="21">
        <v>12.647923012642529</v>
      </c>
      <c r="K124" s="21">
        <v>92.489310396908479</v>
      </c>
      <c r="L124" s="21" t="s">
        <v>27</v>
      </c>
      <c r="M124" s="12" t="s">
        <v>28</v>
      </c>
      <c r="N124" s="11"/>
    </row>
    <row r="125" spans="1:14" x14ac:dyDescent="0.3">
      <c r="A125" s="20" t="s">
        <v>193</v>
      </c>
      <c r="B125" s="21">
        <v>100955</v>
      </c>
      <c r="C125" s="21">
        <v>1499</v>
      </c>
      <c r="D125" s="21">
        <v>710</v>
      </c>
      <c r="E125" s="21">
        <v>400819</v>
      </c>
      <c r="F125" s="21">
        <v>961386</v>
      </c>
      <c r="G125" s="21">
        <v>7</v>
      </c>
      <c r="H125" s="21" t="s">
        <v>32</v>
      </c>
      <c r="I125" s="21" t="s">
        <v>15</v>
      </c>
      <c r="J125" s="21">
        <v>17.817839631518989</v>
      </c>
      <c r="K125" s="21">
        <v>41.691786649691167</v>
      </c>
      <c r="L125" s="21" t="s">
        <v>16</v>
      </c>
      <c r="M125" s="12" t="s">
        <v>21</v>
      </c>
      <c r="N125" s="11"/>
    </row>
    <row r="126" spans="1:14" x14ac:dyDescent="0.3">
      <c r="A126" s="20" t="s">
        <v>194</v>
      </c>
      <c r="B126" s="21">
        <v>72083</v>
      </c>
      <c r="C126" s="21">
        <v>1584</v>
      </c>
      <c r="D126" s="21">
        <v>548</v>
      </c>
      <c r="E126" s="21">
        <v>62361</v>
      </c>
      <c r="F126" s="21">
        <v>766296</v>
      </c>
      <c r="G126" s="21">
        <v>4</v>
      </c>
      <c r="H126" s="21" t="s">
        <v>14</v>
      </c>
      <c r="I126" s="21" t="s">
        <v>53</v>
      </c>
      <c r="J126" s="21">
        <v>26.369601709140849</v>
      </c>
      <c r="K126" s="21">
        <v>8.1379780137179356</v>
      </c>
      <c r="L126" s="21" t="s">
        <v>27</v>
      </c>
      <c r="M126" s="12" t="s">
        <v>28</v>
      </c>
      <c r="N126" s="11"/>
    </row>
    <row r="127" spans="1:14" x14ac:dyDescent="0.3">
      <c r="A127" s="20" t="s">
        <v>195</v>
      </c>
      <c r="B127" s="21">
        <v>88168</v>
      </c>
      <c r="C127" s="21">
        <v>1159</v>
      </c>
      <c r="D127" s="21">
        <v>850</v>
      </c>
      <c r="E127" s="21">
        <v>304863</v>
      </c>
      <c r="F127" s="21">
        <v>438496</v>
      </c>
      <c r="G127" s="21">
        <v>11</v>
      </c>
      <c r="H127" s="21" t="s">
        <v>14</v>
      </c>
      <c r="I127" s="21" t="s">
        <v>55</v>
      </c>
      <c r="J127" s="21">
        <v>15.774430632429</v>
      </c>
      <c r="K127" s="21">
        <v>69.524693497774209</v>
      </c>
      <c r="L127" s="21" t="s">
        <v>24</v>
      </c>
      <c r="M127" s="12" t="s">
        <v>21</v>
      </c>
      <c r="N127" s="11"/>
    </row>
    <row r="128" spans="1:14" x14ac:dyDescent="0.3">
      <c r="A128" s="20" t="s">
        <v>196</v>
      </c>
      <c r="B128" s="21">
        <v>117390</v>
      </c>
      <c r="C128" s="21">
        <v>1706</v>
      </c>
      <c r="D128" s="21">
        <v>548</v>
      </c>
      <c r="E128" s="21">
        <v>868238</v>
      </c>
      <c r="F128" s="21">
        <v>528870</v>
      </c>
      <c r="G128" s="21">
        <v>3</v>
      </c>
      <c r="H128" s="21" t="s">
        <v>19</v>
      </c>
      <c r="I128" s="21" t="s">
        <v>57</v>
      </c>
      <c r="J128" s="21">
        <v>17.439304881165349</v>
      </c>
      <c r="K128" s="21">
        <v>164.1685102199028</v>
      </c>
      <c r="L128" s="21" t="s">
        <v>27</v>
      </c>
      <c r="M128" s="12" t="s">
        <v>28</v>
      </c>
      <c r="N128" s="11"/>
    </row>
    <row r="129" spans="1:14" x14ac:dyDescent="0.3">
      <c r="A129" s="20" t="s">
        <v>197</v>
      </c>
      <c r="B129" s="21">
        <v>105918</v>
      </c>
      <c r="C129" s="21">
        <v>2841</v>
      </c>
      <c r="D129" s="21">
        <v>516</v>
      </c>
      <c r="E129" s="21">
        <v>999403</v>
      </c>
      <c r="F129" s="21">
        <v>335153</v>
      </c>
      <c r="G129" s="21">
        <v>10</v>
      </c>
      <c r="H129" s="21" t="s">
        <v>19</v>
      </c>
      <c r="I129" s="21" t="s">
        <v>46</v>
      </c>
      <c r="J129" s="21">
        <v>32.187163654902847</v>
      </c>
      <c r="K129" s="21">
        <v>298.19306406327848</v>
      </c>
      <c r="L129" s="21" t="s">
        <v>27</v>
      </c>
      <c r="M129" s="12" t="s">
        <v>28</v>
      </c>
      <c r="N129" s="11"/>
    </row>
    <row r="130" spans="1:14" x14ac:dyDescent="0.3">
      <c r="A130" s="20" t="s">
        <v>198</v>
      </c>
      <c r="B130" s="21">
        <v>96963</v>
      </c>
      <c r="C130" s="21">
        <v>2022</v>
      </c>
      <c r="D130" s="21">
        <v>504</v>
      </c>
      <c r="E130" s="21">
        <v>909652</v>
      </c>
      <c r="F130" s="21">
        <v>450150</v>
      </c>
      <c r="G130" s="21">
        <v>7</v>
      </c>
      <c r="H130" s="21" t="s">
        <v>32</v>
      </c>
      <c r="I130" s="21" t="s">
        <v>113</v>
      </c>
      <c r="J130" s="21">
        <v>25.02397821849571</v>
      </c>
      <c r="K130" s="21">
        <v>202.0775297123181</v>
      </c>
      <c r="L130" s="21" t="s">
        <v>27</v>
      </c>
      <c r="M130" s="12" t="s">
        <v>28</v>
      </c>
      <c r="N130" s="11"/>
    </row>
    <row r="131" spans="1:14" x14ac:dyDescent="0.3">
      <c r="A131" s="20" t="s">
        <v>199</v>
      </c>
      <c r="B131" s="21">
        <v>118812</v>
      </c>
      <c r="C131" s="21">
        <v>1047</v>
      </c>
      <c r="D131" s="21">
        <v>720</v>
      </c>
      <c r="E131" s="21">
        <v>393529</v>
      </c>
      <c r="F131" s="21">
        <v>325345</v>
      </c>
      <c r="G131" s="21">
        <v>5</v>
      </c>
      <c r="H131" s="21" t="s">
        <v>32</v>
      </c>
      <c r="I131" s="21" t="s">
        <v>178</v>
      </c>
      <c r="J131" s="21">
        <v>10.574689425310581</v>
      </c>
      <c r="K131" s="21">
        <v>120.957445173585</v>
      </c>
      <c r="L131" s="21" t="s">
        <v>16</v>
      </c>
      <c r="M131" s="12" t="s">
        <v>17</v>
      </c>
      <c r="N131" s="11"/>
    </row>
    <row r="132" spans="1:14" x14ac:dyDescent="0.3">
      <c r="A132" s="20" t="s">
        <v>200</v>
      </c>
      <c r="B132" s="21">
        <v>77872</v>
      </c>
      <c r="C132" s="21">
        <v>580</v>
      </c>
      <c r="D132" s="21">
        <v>476</v>
      </c>
      <c r="E132" s="21">
        <v>831235</v>
      </c>
      <c r="F132" s="21">
        <v>580767</v>
      </c>
      <c r="G132" s="21">
        <v>10</v>
      </c>
      <c r="H132" s="21" t="s">
        <v>14</v>
      </c>
      <c r="I132" s="21" t="s">
        <v>89</v>
      </c>
      <c r="J132" s="21">
        <v>8.9377439901376636</v>
      </c>
      <c r="K132" s="21">
        <v>143.1271060511358</v>
      </c>
      <c r="L132" s="21" t="s">
        <v>27</v>
      </c>
      <c r="M132" s="12" t="s">
        <v>28</v>
      </c>
      <c r="N132" s="11"/>
    </row>
    <row r="133" spans="1:14" x14ac:dyDescent="0.3">
      <c r="A133" s="20" t="s">
        <v>201</v>
      </c>
      <c r="B133" s="21">
        <v>102186</v>
      </c>
      <c r="C133" s="21">
        <v>1545</v>
      </c>
      <c r="D133" s="21">
        <v>461</v>
      </c>
      <c r="E133" s="21">
        <v>939388</v>
      </c>
      <c r="F133" s="21">
        <v>652406</v>
      </c>
      <c r="G133" s="21">
        <v>9</v>
      </c>
      <c r="H133" s="21" t="s">
        <v>14</v>
      </c>
      <c r="I133" s="21" t="s">
        <v>46</v>
      </c>
      <c r="J133" s="21">
        <v>18.143385590981151</v>
      </c>
      <c r="K133" s="21">
        <v>143.9882527138009</v>
      </c>
      <c r="L133" s="21" t="s">
        <v>27</v>
      </c>
      <c r="M133" s="12" t="s">
        <v>28</v>
      </c>
      <c r="N133" s="11"/>
    </row>
    <row r="134" spans="1:14" x14ac:dyDescent="0.3">
      <c r="A134" s="20" t="s">
        <v>202</v>
      </c>
      <c r="B134" s="21">
        <v>103615</v>
      </c>
      <c r="C134" s="21">
        <v>1266</v>
      </c>
      <c r="D134" s="21">
        <v>489</v>
      </c>
      <c r="E134" s="21">
        <v>284721</v>
      </c>
      <c r="F134" s="21">
        <v>617306</v>
      </c>
      <c r="G134" s="21">
        <v>2</v>
      </c>
      <c r="H134" s="21" t="s">
        <v>32</v>
      </c>
      <c r="I134" s="21" t="s">
        <v>57</v>
      </c>
      <c r="J134" s="21">
        <v>14.66196979201853</v>
      </c>
      <c r="K134" s="21">
        <v>46.12315448092194</v>
      </c>
      <c r="L134" s="21" t="s">
        <v>27</v>
      </c>
      <c r="M134" s="12" t="s">
        <v>28</v>
      </c>
      <c r="N134" s="11"/>
    </row>
    <row r="135" spans="1:14" x14ac:dyDescent="0.3">
      <c r="A135" s="20" t="s">
        <v>203</v>
      </c>
      <c r="B135" s="21">
        <v>102219</v>
      </c>
      <c r="C135" s="21">
        <v>2074</v>
      </c>
      <c r="D135" s="21">
        <v>794</v>
      </c>
      <c r="E135" s="21">
        <v>324094</v>
      </c>
      <c r="F135" s="21">
        <v>457518</v>
      </c>
      <c r="G135" s="21">
        <v>2</v>
      </c>
      <c r="H135" s="21" t="s">
        <v>14</v>
      </c>
      <c r="I135" s="21" t="s">
        <v>204</v>
      </c>
      <c r="J135" s="21">
        <v>24.347724004343611</v>
      </c>
      <c r="K135" s="21">
        <v>70.83743153274844</v>
      </c>
      <c r="L135" s="21" t="s">
        <v>24</v>
      </c>
      <c r="M135" s="12" t="s">
        <v>21</v>
      </c>
      <c r="N135" s="11"/>
    </row>
    <row r="136" spans="1:14" x14ac:dyDescent="0.3">
      <c r="A136" s="20" t="s">
        <v>205</v>
      </c>
      <c r="B136" s="21">
        <v>101515</v>
      </c>
      <c r="C136" s="21">
        <v>2728</v>
      </c>
      <c r="D136" s="21">
        <v>538</v>
      </c>
      <c r="E136" s="21">
        <v>542223</v>
      </c>
      <c r="F136" s="21">
        <v>494540</v>
      </c>
      <c r="G136" s="21">
        <v>12</v>
      </c>
      <c r="H136" s="21" t="s">
        <v>45</v>
      </c>
      <c r="I136" s="21" t="s">
        <v>15</v>
      </c>
      <c r="J136" s="21">
        <v>32.247451115598679</v>
      </c>
      <c r="K136" s="21">
        <v>109.641889432604</v>
      </c>
      <c r="L136" s="21" t="s">
        <v>27</v>
      </c>
      <c r="M136" s="12" t="s">
        <v>28</v>
      </c>
      <c r="N136" s="11"/>
    </row>
    <row r="137" spans="1:14" x14ac:dyDescent="0.3">
      <c r="A137" s="20" t="s">
        <v>206</v>
      </c>
      <c r="B137" s="21">
        <v>116964</v>
      </c>
      <c r="C137" s="21">
        <v>1114</v>
      </c>
      <c r="D137" s="21">
        <v>696</v>
      </c>
      <c r="E137" s="21">
        <v>466324</v>
      </c>
      <c r="F137" s="21">
        <v>655097</v>
      </c>
      <c r="G137" s="21">
        <v>7</v>
      </c>
      <c r="H137" s="21" t="s">
        <v>45</v>
      </c>
      <c r="I137" s="21" t="s">
        <v>187</v>
      </c>
      <c r="J137" s="21">
        <v>11.4291576895455</v>
      </c>
      <c r="K137" s="21">
        <v>71.183962069739295</v>
      </c>
      <c r="L137" s="21" t="s">
        <v>16</v>
      </c>
      <c r="M137" s="12" t="s">
        <v>17</v>
      </c>
      <c r="N137" s="11"/>
    </row>
    <row r="138" spans="1:14" x14ac:dyDescent="0.3">
      <c r="A138" s="20" t="s">
        <v>207</v>
      </c>
      <c r="B138" s="21">
        <v>119237</v>
      </c>
      <c r="C138" s="21">
        <v>2749</v>
      </c>
      <c r="D138" s="21">
        <v>785</v>
      </c>
      <c r="E138" s="21">
        <v>332741</v>
      </c>
      <c r="F138" s="21">
        <v>849740</v>
      </c>
      <c r="G138" s="21">
        <v>2</v>
      </c>
      <c r="H138" s="21" t="s">
        <v>19</v>
      </c>
      <c r="I138" s="21" t="s">
        <v>46</v>
      </c>
      <c r="J138" s="21">
        <v>27.6659090718485</v>
      </c>
      <c r="K138" s="21">
        <v>39.157977734365808</v>
      </c>
      <c r="L138" s="21" t="s">
        <v>24</v>
      </c>
      <c r="M138" s="12" t="s">
        <v>21</v>
      </c>
      <c r="N138" s="11"/>
    </row>
    <row r="139" spans="1:14" x14ac:dyDescent="0.3">
      <c r="A139" s="20" t="s">
        <v>208</v>
      </c>
      <c r="B139" s="21">
        <v>103422</v>
      </c>
      <c r="C139" s="21">
        <v>1353</v>
      </c>
      <c r="D139" s="21">
        <v>602</v>
      </c>
      <c r="E139" s="21">
        <v>400938</v>
      </c>
      <c r="F139" s="21">
        <v>407612</v>
      </c>
      <c r="G139" s="21">
        <v>2</v>
      </c>
      <c r="H139" s="21" t="s">
        <v>19</v>
      </c>
      <c r="I139" s="21" t="s">
        <v>35</v>
      </c>
      <c r="J139" s="21">
        <v>15.698787492022969</v>
      </c>
      <c r="K139" s="21">
        <v>98.36265860671422</v>
      </c>
      <c r="L139" s="21" t="s">
        <v>27</v>
      </c>
      <c r="M139" s="12" t="s">
        <v>28</v>
      </c>
      <c r="N139" s="11"/>
    </row>
    <row r="140" spans="1:14" x14ac:dyDescent="0.3">
      <c r="A140" s="20" t="s">
        <v>209</v>
      </c>
      <c r="B140" s="21">
        <v>91645</v>
      </c>
      <c r="C140" s="21">
        <v>418</v>
      </c>
      <c r="D140" s="21">
        <v>594</v>
      </c>
      <c r="E140" s="21">
        <v>619439</v>
      </c>
      <c r="F140" s="21">
        <v>902988</v>
      </c>
      <c r="G140" s="21">
        <v>7</v>
      </c>
      <c r="H140" s="21" t="s">
        <v>19</v>
      </c>
      <c r="I140" s="21" t="s">
        <v>53</v>
      </c>
      <c r="J140" s="21">
        <v>5.4732936875988871</v>
      </c>
      <c r="K140" s="21">
        <v>68.59880751460706</v>
      </c>
      <c r="L140" s="21" t="s">
        <v>27</v>
      </c>
      <c r="M140" s="12" t="s">
        <v>28</v>
      </c>
      <c r="N140" s="11"/>
    </row>
    <row r="141" spans="1:14" x14ac:dyDescent="0.3">
      <c r="A141" s="20" t="s">
        <v>210</v>
      </c>
      <c r="B141" s="21">
        <v>73043</v>
      </c>
      <c r="C141" s="21">
        <v>988</v>
      </c>
      <c r="D141" s="21">
        <v>510</v>
      </c>
      <c r="E141" s="21">
        <v>979565</v>
      </c>
      <c r="F141" s="21">
        <v>928626</v>
      </c>
      <c r="G141" s="21">
        <v>8</v>
      </c>
      <c r="H141" s="21" t="s">
        <v>14</v>
      </c>
      <c r="I141" s="21" t="s">
        <v>26</v>
      </c>
      <c r="J141" s="21">
        <v>16.231534849335318</v>
      </c>
      <c r="K141" s="21">
        <v>105.4854160878545</v>
      </c>
      <c r="L141" s="21" t="s">
        <v>27</v>
      </c>
      <c r="M141" s="12" t="s">
        <v>28</v>
      </c>
      <c r="N141" s="11"/>
    </row>
    <row r="142" spans="1:14" x14ac:dyDescent="0.3">
      <c r="A142" s="20" t="s">
        <v>211</v>
      </c>
      <c r="B142" s="21">
        <v>93910</v>
      </c>
      <c r="C142" s="21">
        <v>1826</v>
      </c>
      <c r="D142" s="21">
        <v>582</v>
      </c>
      <c r="E142" s="21">
        <v>851182</v>
      </c>
      <c r="F142" s="21">
        <v>397380</v>
      </c>
      <c r="G142" s="21">
        <v>11</v>
      </c>
      <c r="H142" s="21" t="s">
        <v>32</v>
      </c>
      <c r="I142" s="21" t="s">
        <v>79</v>
      </c>
      <c r="J142" s="21">
        <v>23.332978383558729</v>
      </c>
      <c r="K142" s="21">
        <v>214.1985001761538</v>
      </c>
      <c r="L142" s="21" t="s">
        <v>27</v>
      </c>
      <c r="M142" s="12" t="s">
        <v>28</v>
      </c>
      <c r="N142" s="11"/>
    </row>
    <row r="143" spans="1:14" x14ac:dyDescent="0.3">
      <c r="A143" s="20" t="s">
        <v>212</v>
      </c>
      <c r="B143" s="21">
        <v>115972</v>
      </c>
      <c r="C143" s="21">
        <v>2672</v>
      </c>
      <c r="D143" s="21">
        <v>696</v>
      </c>
      <c r="E143" s="21">
        <v>419371</v>
      </c>
      <c r="F143" s="21">
        <v>392756</v>
      </c>
      <c r="G143" s="21">
        <v>1</v>
      </c>
      <c r="H143" s="21" t="s">
        <v>19</v>
      </c>
      <c r="I143" s="21" t="s">
        <v>33</v>
      </c>
      <c r="J143" s="21">
        <v>27.648052978305099</v>
      </c>
      <c r="K143" s="21">
        <v>106.7764719062217</v>
      </c>
      <c r="L143" s="21" t="s">
        <v>16</v>
      </c>
      <c r="M143" s="12" t="s">
        <v>17</v>
      </c>
      <c r="N143" s="11"/>
    </row>
    <row r="144" spans="1:14" x14ac:dyDescent="0.3">
      <c r="A144" s="20" t="s">
        <v>213</v>
      </c>
      <c r="B144" s="21">
        <v>72594</v>
      </c>
      <c r="C144" s="21">
        <v>1340</v>
      </c>
      <c r="D144" s="21">
        <v>453</v>
      </c>
      <c r="E144" s="21">
        <v>53888</v>
      </c>
      <c r="F144" s="21">
        <v>701962</v>
      </c>
      <c r="G144" s="21">
        <v>6</v>
      </c>
      <c r="H144" s="21" t="s">
        <v>19</v>
      </c>
      <c r="I144" s="21" t="s">
        <v>51</v>
      </c>
      <c r="J144" s="21">
        <v>22.150590957930412</v>
      </c>
      <c r="K144" s="21">
        <v>7.6767688279422526</v>
      </c>
      <c r="L144" s="21" t="s">
        <v>27</v>
      </c>
      <c r="M144" s="12" t="s">
        <v>28</v>
      </c>
      <c r="N144" s="11"/>
    </row>
    <row r="145" spans="1:14" x14ac:dyDescent="0.3">
      <c r="A145" s="20" t="s">
        <v>214</v>
      </c>
      <c r="B145" s="21">
        <v>104011</v>
      </c>
      <c r="C145" s="21">
        <v>597</v>
      </c>
      <c r="D145" s="21">
        <v>501</v>
      </c>
      <c r="E145" s="21">
        <v>118094</v>
      </c>
      <c r="F145" s="21">
        <v>851430</v>
      </c>
      <c r="G145" s="21">
        <v>12</v>
      </c>
      <c r="H145" s="21" t="s">
        <v>14</v>
      </c>
      <c r="I145" s="21" t="s">
        <v>77</v>
      </c>
      <c r="J145" s="21">
        <v>6.8877330282373972</v>
      </c>
      <c r="K145" s="21">
        <v>13.870077399198991</v>
      </c>
      <c r="L145" s="21" t="s">
        <v>27</v>
      </c>
      <c r="M145" s="12" t="s">
        <v>28</v>
      </c>
      <c r="N145" s="11"/>
    </row>
    <row r="146" spans="1:14" x14ac:dyDescent="0.3">
      <c r="A146" s="20" t="s">
        <v>215</v>
      </c>
      <c r="B146" s="21">
        <v>114251</v>
      </c>
      <c r="C146" s="21">
        <v>2560</v>
      </c>
      <c r="D146" s="21">
        <v>540</v>
      </c>
      <c r="E146" s="21">
        <v>525206</v>
      </c>
      <c r="F146" s="21">
        <v>991499</v>
      </c>
      <c r="G146" s="21">
        <v>6</v>
      </c>
      <c r="H146" s="21" t="s">
        <v>32</v>
      </c>
      <c r="I146" s="21" t="s">
        <v>105</v>
      </c>
      <c r="J146" s="21">
        <v>26.888167280811551</v>
      </c>
      <c r="K146" s="21">
        <v>52.970905669092957</v>
      </c>
      <c r="L146" s="21" t="s">
        <v>27</v>
      </c>
      <c r="M146" s="12" t="s">
        <v>28</v>
      </c>
      <c r="N146" s="11"/>
    </row>
    <row r="147" spans="1:14" x14ac:dyDescent="0.3">
      <c r="A147" s="20" t="s">
        <v>216</v>
      </c>
      <c r="B147" s="21">
        <v>77755</v>
      </c>
      <c r="C147" s="21">
        <v>2517</v>
      </c>
      <c r="D147" s="21">
        <v>844</v>
      </c>
      <c r="E147" s="21">
        <v>436620</v>
      </c>
      <c r="F147" s="21">
        <v>835732</v>
      </c>
      <c r="G147" s="21">
        <v>10</v>
      </c>
      <c r="H147" s="21" t="s">
        <v>32</v>
      </c>
      <c r="I147" s="21" t="s">
        <v>172</v>
      </c>
      <c r="J147" s="21">
        <v>38.845090347887599</v>
      </c>
      <c r="K147" s="21">
        <v>52.244020810499059</v>
      </c>
      <c r="L147" s="21" t="s">
        <v>24</v>
      </c>
      <c r="M147" s="12" t="s">
        <v>21</v>
      </c>
      <c r="N147" s="11"/>
    </row>
    <row r="148" spans="1:14" x14ac:dyDescent="0.3">
      <c r="A148" s="20" t="s">
        <v>217</v>
      </c>
      <c r="B148" s="21">
        <v>118872</v>
      </c>
      <c r="C148" s="21">
        <v>2558</v>
      </c>
      <c r="D148" s="21">
        <v>850</v>
      </c>
      <c r="E148" s="21">
        <v>925198</v>
      </c>
      <c r="F148" s="21">
        <v>291920</v>
      </c>
      <c r="G148" s="21">
        <v>1</v>
      </c>
      <c r="H148" s="21" t="s">
        <v>19</v>
      </c>
      <c r="I148" s="21" t="s">
        <v>86</v>
      </c>
      <c r="J148" s="21">
        <v>25.822733696749449</v>
      </c>
      <c r="K148" s="21">
        <v>316.93546177034813</v>
      </c>
      <c r="L148" s="21" t="s">
        <v>24</v>
      </c>
      <c r="M148" s="12" t="s">
        <v>17</v>
      </c>
      <c r="N148" s="11"/>
    </row>
    <row r="149" spans="1:14" x14ac:dyDescent="0.3">
      <c r="A149" s="20" t="s">
        <v>218</v>
      </c>
      <c r="B149" s="21">
        <v>112169</v>
      </c>
      <c r="C149" s="21">
        <v>1144</v>
      </c>
      <c r="D149" s="21">
        <v>723</v>
      </c>
      <c r="E149" s="21">
        <v>814389</v>
      </c>
      <c r="F149" s="21">
        <v>472055</v>
      </c>
      <c r="G149" s="21">
        <v>9</v>
      </c>
      <c r="H149" s="21" t="s">
        <v>14</v>
      </c>
      <c r="I149" s="21" t="s">
        <v>178</v>
      </c>
      <c r="J149" s="21">
        <v>12.238675569898991</v>
      </c>
      <c r="K149" s="21">
        <v>172.5199394138395</v>
      </c>
      <c r="L149" s="21" t="s">
        <v>16</v>
      </c>
      <c r="M149" s="12" t="s">
        <v>17</v>
      </c>
      <c r="N149" s="11"/>
    </row>
    <row r="150" spans="1:14" x14ac:dyDescent="0.3">
      <c r="A150" s="20" t="s">
        <v>219</v>
      </c>
      <c r="B150" s="21">
        <v>96454</v>
      </c>
      <c r="C150" s="21">
        <v>2523</v>
      </c>
      <c r="D150" s="21">
        <v>562</v>
      </c>
      <c r="E150" s="21">
        <v>205820</v>
      </c>
      <c r="F150" s="21">
        <v>875173</v>
      </c>
      <c r="G150" s="21">
        <v>6</v>
      </c>
      <c r="H150" s="21" t="s">
        <v>32</v>
      </c>
      <c r="I150" s="21" t="s">
        <v>145</v>
      </c>
      <c r="J150" s="21">
        <v>31.389055923030671</v>
      </c>
      <c r="K150" s="21">
        <v>23.517635941693811</v>
      </c>
      <c r="L150" s="21" t="s">
        <v>27</v>
      </c>
      <c r="M150" s="12" t="s">
        <v>28</v>
      </c>
      <c r="N150" s="11"/>
    </row>
    <row r="151" spans="1:14" x14ac:dyDescent="0.3">
      <c r="A151" s="20" t="s">
        <v>220</v>
      </c>
      <c r="B151" s="21">
        <v>97999</v>
      </c>
      <c r="C151" s="21">
        <v>1165</v>
      </c>
      <c r="D151" s="21">
        <v>769</v>
      </c>
      <c r="E151" s="21">
        <v>972018</v>
      </c>
      <c r="F151" s="21">
        <v>575978</v>
      </c>
      <c r="G151" s="21">
        <v>3</v>
      </c>
      <c r="H151" s="21" t="s">
        <v>19</v>
      </c>
      <c r="I151" s="21" t="s">
        <v>51</v>
      </c>
      <c r="J151" s="21">
        <v>14.265451688282541</v>
      </c>
      <c r="K151" s="21">
        <v>168.75957067804671</v>
      </c>
      <c r="L151" s="21" t="s">
        <v>24</v>
      </c>
      <c r="M151" s="12" t="s">
        <v>17</v>
      </c>
      <c r="N151" s="11"/>
    </row>
    <row r="152" spans="1:14" x14ac:dyDescent="0.3">
      <c r="A152" s="20" t="s">
        <v>221</v>
      </c>
      <c r="B152" s="21">
        <v>106417</v>
      </c>
      <c r="C152" s="21">
        <v>1630</v>
      </c>
      <c r="D152" s="21">
        <v>676</v>
      </c>
      <c r="E152" s="21">
        <v>995067</v>
      </c>
      <c r="F152" s="21">
        <v>471306</v>
      </c>
      <c r="G152" s="21">
        <v>6</v>
      </c>
      <c r="H152" s="21" t="s">
        <v>14</v>
      </c>
      <c r="I152" s="21" t="s">
        <v>222</v>
      </c>
      <c r="J152" s="21">
        <v>18.380521909093471</v>
      </c>
      <c r="K152" s="21">
        <v>211.129711906914</v>
      </c>
      <c r="L152" s="21" t="s">
        <v>16</v>
      </c>
      <c r="M152" s="12" t="s">
        <v>17</v>
      </c>
      <c r="N152" s="11"/>
    </row>
    <row r="153" spans="1:14" x14ac:dyDescent="0.3">
      <c r="A153" s="20" t="s">
        <v>223</v>
      </c>
      <c r="B153" s="21">
        <v>107002</v>
      </c>
      <c r="C153" s="21">
        <v>1647</v>
      </c>
      <c r="D153" s="21">
        <v>769</v>
      </c>
      <c r="E153" s="21">
        <v>441664</v>
      </c>
      <c r="F153" s="21">
        <v>237208</v>
      </c>
      <c r="G153" s="21">
        <v>8</v>
      </c>
      <c r="H153" s="21" t="s">
        <v>32</v>
      </c>
      <c r="I153" s="21" t="s">
        <v>46</v>
      </c>
      <c r="J153" s="21">
        <v>18.470682790975872</v>
      </c>
      <c r="K153" s="21">
        <v>186.19270850898789</v>
      </c>
      <c r="L153" s="21" t="s">
        <v>24</v>
      </c>
      <c r="M153" s="12" t="s">
        <v>17</v>
      </c>
      <c r="N153" s="11"/>
    </row>
    <row r="154" spans="1:14" x14ac:dyDescent="0.3">
      <c r="A154" s="20" t="s">
        <v>224</v>
      </c>
      <c r="B154" s="21">
        <v>101709</v>
      </c>
      <c r="C154" s="21">
        <v>1356</v>
      </c>
      <c r="D154" s="21">
        <v>839</v>
      </c>
      <c r="E154" s="21">
        <v>791018</v>
      </c>
      <c r="F154" s="21">
        <v>437598</v>
      </c>
      <c r="G154" s="21">
        <v>1</v>
      </c>
      <c r="H154" s="21" t="s">
        <v>14</v>
      </c>
      <c r="I154" s="21" t="s">
        <v>145</v>
      </c>
      <c r="J154" s="21">
        <v>15.99858419608884</v>
      </c>
      <c r="K154" s="21">
        <v>180.76362323410979</v>
      </c>
      <c r="L154" s="21" t="s">
        <v>24</v>
      </c>
      <c r="M154" s="12" t="s">
        <v>17</v>
      </c>
      <c r="N154" s="11"/>
    </row>
    <row r="155" spans="1:14" x14ac:dyDescent="0.3">
      <c r="A155" s="20" t="s">
        <v>225</v>
      </c>
      <c r="B155" s="21">
        <v>87727</v>
      </c>
      <c r="C155" s="21">
        <v>1986</v>
      </c>
      <c r="D155" s="21">
        <v>632</v>
      </c>
      <c r="E155" s="21">
        <v>454611</v>
      </c>
      <c r="F155" s="21">
        <v>496611</v>
      </c>
      <c r="G155" s="21">
        <v>8</v>
      </c>
      <c r="H155" s="21" t="s">
        <v>45</v>
      </c>
      <c r="I155" s="21" t="s">
        <v>55</v>
      </c>
      <c r="J155" s="21">
        <v>27.166094816875081</v>
      </c>
      <c r="K155" s="21">
        <v>91.542676259688164</v>
      </c>
      <c r="L155" s="21" t="s">
        <v>27</v>
      </c>
      <c r="M155" s="12" t="s">
        <v>28</v>
      </c>
      <c r="N155" s="11"/>
    </row>
    <row r="156" spans="1:14" x14ac:dyDescent="0.3">
      <c r="A156" s="20" t="s">
        <v>226</v>
      </c>
      <c r="B156" s="21">
        <v>93911</v>
      </c>
      <c r="C156" s="21">
        <v>2759</v>
      </c>
      <c r="D156" s="21">
        <v>569</v>
      </c>
      <c r="E156" s="21">
        <v>664376</v>
      </c>
      <c r="F156" s="21">
        <v>945218</v>
      </c>
      <c r="G156" s="21">
        <v>1</v>
      </c>
      <c r="H156" s="21" t="s">
        <v>45</v>
      </c>
      <c r="I156" s="21" t="s">
        <v>77</v>
      </c>
      <c r="J156" s="21">
        <v>35.254656004088972</v>
      </c>
      <c r="K156" s="21">
        <v>70.28812400948776</v>
      </c>
      <c r="L156" s="21" t="s">
        <v>27</v>
      </c>
      <c r="M156" s="12" t="s">
        <v>28</v>
      </c>
      <c r="N156" s="11"/>
    </row>
    <row r="157" spans="1:14" x14ac:dyDescent="0.3">
      <c r="A157" s="20" t="s">
        <v>227</v>
      </c>
      <c r="B157" s="21">
        <v>99085</v>
      </c>
      <c r="C157" s="21">
        <v>2510</v>
      </c>
      <c r="D157" s="21">
        <v>470</v>
      </c>
      <c r="E157" s="21">
        <v>851600</v>
      </c>
      <c r="F157" s="21">
        <v>442106</v>
      </c>
      <c r="G157" s="21">
        <v>3</v>
      </c>
      <c r="H157" s="21" t="s">
        <v>45</v>
      </c>
      <c r="I157" s="21" t="s">
        <v>63</v>
      </c>
      <c r="J157" s="21">
        <v>30.398143008528031</v>
      </c>
      <c r="K157" s="21">
        <v>192.623488484662</v>
      </c>
      <c r="L157" s="21" t="s">
        <v>27</v>
      </c>
      <c r="M157" s="12" t="s">
        <v>28</v>
      </c>
      <c r="N157" s="11"/>
    </row>
    <row r="158" spans="1:14" x14ac:dyDescent="0.3">
      <c r="A158" s="20" t="s">
        <v>228</v>
      </c>
      <c r="B158" s="21">
        <v>94059</v>
      </c>
      <c r="C158" s="21">
        <v>2348</v>
      </c>
      <c r="D158" s="21">
        <v>617</v>
      </c>
      <c r="E158" s="21">
        <v>307713</v>
      </c>
      <c r="F158" s="21">
        <v>336092</v>
      </c>
      <c r="G158" s="21">
        <v>10</v>
      </c>
      <c r="H158" s="21" t="s">
        <v>32</v>
      </c>
      <c r="I158" s="21" t="s">
        <v>30</v>
      </c>
      <c r="J158" s="21">
        <v>29.955666124453799</v>
      </c>
      <c r="K158" s="21">
        <v>91.556181045666065</v>
      </c>
      <c r="L158" s="21" t="s">
        <v>27</v>
      </c>
      <c r="M158" s="12" t="s">
        <v>28</v>
      </c>
      <c r="N158" s="11"/>
    </row>
    <row r="159" spans="1:14" x14ac:dyDescent="0.3">
      <c r="A159" s="20" t="s">
        <v>229</v>
      </c>
      <c r="B159" s="21">
        <v>104533</v>
      </c>
      <c r="C159" s="21">
        <v>569</v>
      </c>
      <c r="D159" s="21">
        <v>520</v>
      </c>
      <c r="E159" s="21">
        <v>224054</v>
      </c>
      <c r="F159" s="21">
        <v>444158</v>
      </c>
      <c r="G159" s="21">
        <v>9</v>
      </c>
      <c r="H159" s="21" t="s">
        <v>32</v>
      </c>
      <c r="I159" s="21" t="s">
        <v>99</v>
      </c>
      <c r="J159" s="21">
        <v>6.531908583892168</v>
      </c>
      <c r="K159" s="21">
        <v>50.444661584391127</v>
      </c>
      <c r="L159" s="21" t="s">
        <v>27</v>
      </c>
      <c r="M159" s="12" t="s">
        <v>28</v>
      </c>
      <c r="N159" s="11"/>
    </row>
    <row r="160" spans="1:14" x14ac:dyDescent="0.3">
      <c r="A160" s="20" t="s">
        <v>230</v>
      </c>
      <c r="B160" s="21">
        <v>117012</v>
      </c>
      <c r="C160" s="21">
        <v>340</v>
      </c>
      <c r="D160" s="21">
        <v>554</v>
      </c>
      <c r="E160" s="21">
        <v>726840</v>
      </c>
      <c r="F160" s="21">
        <v>783119</v>
      </c>
      <c r="G160" s="21">
        <v>8</v>
      </c>
      <c r="H160" s="21" t="s">
        <v>45</v>
      </c>
      <c r="I160" s="21" t="s">
        <v>33</v>
      </c>
      <c r="J160" s="21">
        <v>3.486821864424162</v>
      </c>
      <c r="K160" s="21">
        <v>92.81348045443923</v>
      </c>
      <c r="L160" s="21" t="s">
        <v>27</v>
      </c>
      <c r="M160" s="12" t="s">
        <v>28</v>
      </c>
      <c r="N160" s="11"/>
    </row>
    <row r="161" spans="1:14" x14ac:dyDescent="0.3">
      <c r="A161" s="20" t="s">
        <v>231</v>
      </c>
      <c r="B161" s="21">
        <v>101142</v>
      </c>
      <c r="C161" s="21">
        <v>994</v>
      </c>
      <c r="D161" s="21">
        <v>795</v>
      </c>
      <c r="E161" s="21">
        <v>988480</v>
      </c>
      <c r="F161" s="21">
        <v>718403</v>
      </c>
      <c r="G161" s="21">
        <v>7</v>
      </c>
      <c r="H161" s="21" t="s">
        <v>32</v>
      </c>
      <c r="I161" s="21" t="s">
        <v>35</v>
      </c>
      <c r="J161" s="21">
        <v>11.793320282375269</v>
      </c>
      <c r="K161" s="21">
        <v>137.5940802028945</v>
      </c>
      <c r="L161" s="21" t="s">
        <v>24</v>
      </c>
      <c r="M161" s="12" t="s">
        <v>17</v>
      </c>
      <c r="N161" s="11"/>
    </row>
    <row r="162" spans="1:14" x14ac:dyDescent="0.3">
      <c r="A162" s="20" t="s">
        <v>232</v>
      </c>
      <c r="B162" s="21">
        <v>115852</v>
      </c>
      <c r="C162" s="21">
        <v>2114</v>
      </c>
      <c r="D162" s="21">
        <v>781</v>
      </c>
      <c r="E162" s="21">
        <v>419861</v>
      </c>
      <c r="F162" s="21">
        <v>795438</v>
      </c>
      <c r="G162" s="21">
        <v>2</v>
      </c>
      <c r="H162" s="21" t="s">
        <v>32</v>
      </c>
      <c r="I162" s="21" t="s">
        <v>61</v>
      </c>
      <c r="J162" s="21">
        <v>21.896902945136901</v>
      </c>
      <c r="K162" s="21">
        <v>52.783623613656893</v>
      </c>
      <c r="L162" s="21" t="s">
        <v>24</v>
      </c>
      <c r="M162" s="12" t="s">
        <v>21</v>
      </c>
      <c r="N162" s="11"/>
    </row>
    <row r="163" spans="1:14" x14ac:dyDescent="0.3">
      <c r="A163" s="20" t="s">
        <v>233</v>
      </c>
      <c r="B163" s="21">
        <v>100003</v>
      </c>
      <c r="C163" s="21">
        <v>2263</v>
      </c>
      <c r="D163" s="21">
        <v>534</v>
      </c>
      <c r="E163" s="21">
        <v>558450</v>
      </c>
      <c r="F163" s="21">
        <v>368829</v>
      </c>
      <c r="G163" s="21">
        <v>11</v>
      </c>
      <c r="H163" s="21" t="s">
        <v>32</v>
      </c>
      <c r="I163" s="21" t="s">
        <v>91</v>
      </c>
      <c r="J163" s="21">
        <v>27.155185344439669</v>
      </c>
      <c r="K163" s="21">
        <v>151.41162977965399</v>
      </c>
      <c r="L163" s="21" t="s">
        <v>27</v>
      </c>
      <c r="M163" s="12" t="s">
        <v>28</v>
      </c>
      <c r="N163" s="11"/>
    </row>
    <row r="164" spans="1:14" x14ac:dyDescent="0.3">
      <c r="A164" s="20" t="s">
        <v>234</v>
      </c>
      <c r="B164" s="21">
        <v>78704</v>
      </c>
      <c r="C164" s="21">
        <v>1837</v>
      </c>
      <c r="D164" s="21">
        <v>694</v>
      </c>
      <c r="E164" s="21">
        <v>516503</v>
      </c>
      <c r="F164" s="21">
        <v>432927</v>
      </c>
      <c r="G164" s="21">
        <v>9</v>
      </c>
      <c r="H164" s="21" t="s">
        <v>14</v>
      </c>
      <c r="I164" s="21" t="s">
        <v>15</v>
      </c>
      <c r="J164" s="21">
        <v>28.008741614149219</v>
      </c>
      <c r="K164" s="21">
        <v>119.3048712600508</v>
      </c>
      <c r="L164" s="21" t="s">
        <v>16</v>
      </c>
      <c r="M164" s="12" t="s">
        <v>17</v>
      </c>
      <c r="N164" s="11"/>
    </row>
    <row r="165" spans="1:14" x14ac:dyDescent="0.3">
      <c r="A165" s="20" t="s">
        <v>235</v>
      </c>
      <c r="B165" s="21">
        <v>109032</v>
      </c>
      <c r="C165" s="21">
        <v>2993</v>
      </c>
      <c r="D165" s="21">
        <v>786</v>
      </c>
      <c r="E165" s="21">
        <v>78101</v>
      </c>
      <c r="F165" s="21">
        <v>739331</v>
      </c>
      <c r="G165" s="21">
        <v>9</v>
      </c>
      <c r="H165" s="21" t="s">
        <v>19</v>
      </c>
      <c r="I165" s="21" t="s">
        <v>61</v>
      </c>
      <c r="J165" s="21">
        <v>32.940788025533791</v>
      </c>
      <c r="K165" s="21">
        <v>10.56373938060219</v>
      </c>
      <c r="L165" s="21" t="s">
        <v>24</v>
      </c>
      <c r="M165" s="12" t="s">
        <v>21</v>
      </c>
      <c r="N165" s="11"/>
    </row>
    <row r="166" spans="1:14" x14ac:dyDescent="0.3">
      <c r="A166" s="20" t="s">
        <v>236</v>
      </c>
      <c r="B166" s="21">
        <v>83575</v>
      </c>
      <c r="C166" s="21">
        <v>1245</v>
      </c>
      <c r="D166" s="21">
        <v>767</v>
      </c>
      <c r="E166" s="21">
        <v>569846</v>
      </c>
      <c r="F166" s="21">
        <v>788311</v>
      </c>
      <c r="G166" s="21">
        <v>11</v>
      </c>
      <c r="H166" s="21" t="s">
        <v>32</v>
      </c>
      <c r="I166" s="21" t="s">
        <v>91</v>
      </c>
      <c r="J166" s="21">
        <v>17.876159138498359</v>
      </c>
      <c r="K166" s="21">
        <v>72.286952738195964</v>
      </c>
      <c r="L166" s="21" t="s">
        <v>24</v>
      </c>
      <c r="M166" s="12" t="s">
        <v>21</v>
      </c>
      <c r="N166" s="11"/>
    </row>
    <row r="167" spans="1:14" x14ac:dyDescent="0.3">
      <c r="A167" s="20" t="s">
        <v>237</v>
      </c>
      <c r="B167" s="21">
        <v>94104</v>
      </c>
      <c r="C167" s="21">
        <v>2518</v>
      </c>
      <c r="D167" s="21">
        <v>745</v>
      </c>
      <c r="E167" s="21">
        <v>185086</v>
      </c>
      <c r="F167" s="21">
        <v>538982</v>
      </c>
      <c r="G167" s="21">
        <v>10</v>
      </c>
      <c r="H167" s="21" t="s">
        <v>32</v>
      </c>
      <c r="I167" s="21" t="s">
        <v>238</v>
      </c>
      <c r="J167" s="21">
        <v>32.109155827595004</v>
      </c>
      <c r="K167" s="21">
        <v>34.339922297961706</v>
      </c>
      <c r="L167" s="21" t="s">
        <v>16</v>
      </c>
      <c r="M167" s="12" t="s">
        <v>21</v>
      </c>
      <c r="N167" s="11"/>
    </row>
    <row r="168" spans="1:14" x14ac:dyDescent="0.3">
      <c r="A168" s="20" t="s">
        <v>239</v>
      </c>
      <c r="B168" s="21">
        <v>85998</v>
      </c>
      <c r="C168" s="21">
        <v>523</v>
      </c>
      <c r="D168" s="21">
        <v>503</v>
      </c>
      <c r="E168" s="21">
        <v>160950</v>
      </c>
      <c r="F168" s="21">
        <v>261789</v>
      </c>
      <c r="G168" s="21">
        <v>10</v>
      </c>
      <c r="H168" s="21" t="s">
        <v>19</v>
      </c>
      <c r="I168" s="21" t="s">
        <v>172</v>
      </c>
      <c r="J168" s="21">
        <v>7.2978441359101378</v>
      </c>
      <c r="K168" s="21">
        <v>61.480810882046242</v>
      </c>
      <c r="L168" s="21" t="s">
        <v>27</v>
      </c>
      <c r="M168" s="12" t="s">
        <v>28</v>
      </c>
      <c r="N168" s="11"/>
    </row>
    <row r="169" spans="1:14" x14ac:dyDescent="0.3">
      <c r="A169" s="20" t="s">
        <v>240</v>
      </c>
      <c r="B169" s="21">
        <v>93723</v>
      </c>
      <c r="C169" s="21">
        <v>1255</v>
      </c>
      <c r="D169" s="21">
        <v>748</v>
      </c>
      <c r="E169" s="21">
        <v>284415</v>
      </c>
      <c r="F169" s="21">
        <v>523405</v>
      </c>
      <c r="G169" s="21">
        <v>7</v>
      </c>
      <c r="H169" s="21" t="s">
        <v>45</v>
      </c>
      <c r="I169" s="21" t="s">
        <v>77</v>
      </c>
      <c r="J169" s="21">
        <v>16.068627764796261</v>
      </c>
      <c r="K169" s="21">
        <v>54.339373907394851</v>
      </c>
      <c r="L169" s="21" t="s">
        <v>16</v>
      </c>
      <c r="M169" s="12" t="s">
        <v>21</v>
      </c>
      <c r="N169" s="11"/>
    </row>
    <row r="170" spans="1:14" x14ac:dyDescent="0.3">
      <c r="A170" s="20" t="s">
        <v>241</v>
      </c>
      <c r="B170" s="21">
        <v>100665</v>
      </c>
      <c r="C170" s="21">
        <v>1726</v>
      </c>
      <c r="D170" s="21">
        <v>756</v>
      </c>
      <c r="E170" s="21">
        <v>291966</v>
      </c>
      <c r="F170" s="21">
        <v>475342</v>
      </c>
      <c r="G170" s="21">
        <v>7</v>
      </c>
      <c r="H170" s="21" t="s">
        <v>14</v>
      </c>
      <c r="I170" s="21" t="s">
        <v>75</v>
      </c>
      <c r="J170" s="21">
        <v>20.575175085680229</v>
      </c>
      <c r="K170" s="21">
        <v>61.422302258163597</v>
      </c>
      <c r="L170" s="21" t="s">
        <v>24</v>
      </c>
      <c r="M170" s="12" t="s">
        <v>21</v>
      </c>
      <c r="N170" s="11"/>
    </row>
    <row r="171" spans="1:14" x14ac:dyDescent="0.3">
      <c r="A171" s="20" t="s">
        <v>242</v>
      </c>
      <c r="B171" s="21">
        <v>93783</v>
      </c>
      <c r="C171" s="21">
        <v>1387</v>
      </c>
      <c r="D171" s="21">
        <v>555</v>
      </c>
      <c r="E171" s="21">
        <v>126688</v>
      </c>
      <c r="F171" s="21">
        <v>358160</v>
      </c>
      <c r="G171" s="21">
        <v>10</v>
      </c>
      <c r="H171" s="21" t="s">
        <v>45</v>
      </c>
      <c r="I171" s="21" t="s">
        <v>61</v>
      </c>
      <c r="J171" s="21">
        <v>17.74735293176802</v>
      </c>
      <c r="K171" s="21">
        <v>35.371900826446279</v>
      </c>
      <c r="L171" s="21" t="s">
        <v>27</v>
      </c>
      <c r="M171" s="12" t="s">
        <v>28</v>
      </c>
      <c r="N171" s="11"/>
    </row>
    <row r="172" spans="1:14" x14ac:dyDescent="0.3">
      <c r="A172" s="20" t="s">
        <v>243</v>
      </c>
      <c r="B172" s="21">
        <v>103600</v>
      </c>
      <c r="C172" s="21">
        <v>456</v>
      </c>
      <c r="D172" s="21">
        <v>515</v>
      </c>
      <c r="E172" s="21">
        <v>519463</v>
      </c>
      <c r="F172" s="21">
        <v>625797</v>
      </c>
      <c r="G172" s="21">
        <v>11</v>
      </c>
      <c r="H172" s="21" t="s">
        <v>14</v>
      </c>
      <c r="I172" s="21" t="s">
        <v>204</v>
      </c>
      <c r="J172" s="21">
        <v>5.2818532818532811</v>
      </c>
      <c r="K172" s="21">
        <v>83.00822790777201</v>
      </c>
      <c r="L172" s="21" t="s">
        <v>27</v>
      </c>
      <c r="M172" s="12" t="s">
        <v>28</v>
      </c>
      <c r="N172" s="11"/>
    </row>
    <row r="173" spans="1:14" x14ac:dyDescent="0.3">
      <c r="A173" s="20" t="s">
        <v>244</v>
      </c>
      <c r="B173" s="21">
        <v>108191</v>
      </c>
      <c r="C173" s="21">
        <v>2126</v>
      </c>
      <c r="D173" s="21">
        <v>850</v>
      </c>
      <c r="E173" s="21">
        <v>517355</v>
      </c>
      <c r="F173" s="21">
        <v>365976</v>
      </c>
      <c r="G173" s="21">
        <v>12</v>
      </c>
      <c r="H173" s="21" t="s">
        <v>14</v>
      </c>
      <c r="I173" s="21" t="s">
        <v>15</v>
      </c>
      <c r="J173" s="21">
        <v>23.58051963656866</v>
      </c>
      <c r="K173" s="21">
        <v>141.36309484774961</v>
      </c>
      <c r="L173" s="21" t="s">
        <v>24</v>
      </c>
      <c r="M173" s="12" t="s">
        <v>17</v>
      </c>
      <c r="N173" s="11"/>
    </row>
    <row r="174" spans="1:14" x14ac:dyDescent="0.3">
      <c r="A174" s="20" t="s">
        <v>245</v>
      </c>
      <c r="B174" s="21">
        <v>77286</v>
      </c>
      <c r="C174" s="21">
        <v>2713</v>
      </c>
      <c r="D174" s="21">
        <v>622</v>
      </c>
      <c r="E174" s="21">
        <v>77990</v>
      </c>
      <c r="F174" s="21">
        <v>583801</v>
      </c>
      <c r="G174" s="21">
        <v>2</v>
      </c>
      <c r="H174" s="21" t="s">
        <v>19</v>
      </c>
      <c r="I174" s="21" t="s">
        <v>59</v>
      </c>
      <c r="J174" s="21">
        <v>42.124058691095406</v>
      </c>
      <c r="K174" s="21">
        <v>13.359004181219291</v>
      </c>
      <c r="L174" s="21" t="s">
        <v>27</v>
      </c>
      <c r="M174" s="12" t="s">
        <v>28</v>
      </c>
      <c r="N174" s="11"/>
    </row>
    <row r="175" spans="1:14" x14ac:dyDescent="0.3">
      <c r="A175" s="20" t="s">
        <v>246</v>
      </c>
      <c r="B175" s="21">
        <v>88181</v>
      </c>
      <c r="C175" s="21">
        <v>2975</v>
      </c>
      <c r="D175" s="21">
        <v>740</v>
      </c>
      <c r="E175" s="21">
        <v>297418</v>
      </c>
      <c r="F175" s="21">
        <v>918995</v>
      </c>
      <c r="G175" s="21">
        <v>6</v>
      </c>
      <c r="H175" s="21" t="s">
        <v>14</v>
      </c>
      <c r="I175" s="21" t="s">
        <v>15</v>
      </c>
      <c r="J175" s="21">
        <v>40.484911715675707</v>
      </c>
      <c r="K175" s="21">
        <v>32.363396971691913</v>
      </c>
      <c r="L175" s="21" t="s">
        <v>16</v>
      </c>
      <c r="M175" s="12" t="s">
        <v>21</v>
      </c>
      <c r="N175" s="11"/>
    </row>
    <row r="176" spans="1:14" x14ac:dyDescent="0.3">
      <c r="A176" s="20" t="s">
        <v>247</v>
      </c>
      <c r="B176" s="21">
        <v>101291</v>
      </c>
      <c r="C176" s="21">
        <v>2889</v>
      </c>
      <c r="D176" s="21">
        <v>502</v>
      </c>
      <c r="E176" s="21">
        <v>142555</v>
      </c>
      <c r="F176" s="21">
        <v>257787</v>
      </c>
      <c r="G176" s="21">
        <v>12</v>
      </c>
      <c r="H176" s="21" t="s">
        <v>32</v>
      </c>
      <c r="I176" s="21" t="s">
        <v>53</v>
      </c>
      <c r="J176" s="21">
        <v>34.226140525811772</v>
      </c>
      <c r="K176" s="21">
        <v>55.29953023232359</v>
      </c>
      <c r="L176" s="21" t="s">
        <v>27</v>
      </c>
      <c r="M176" s="12" t="s">
        <v>28</v>
      </c>
      <c r="N176" s="11"/>
    </row>
    <row r="177" spans="1:14" x14ac:dyDescent="0.3">
      <c r="A177" s="20" t="s">
        <v>248</v>
      </c>
      <c r="B177" s="21">
        <v>73668</v>
      </c>
      <c r="C177" s="21">
        <v>1994</v>
      </c>
      <c r="D177" s="21">
        <v>740</v>
      </c>
      <c r="E177" s="21">
        <v>56412</v>
      </c>
      <c r="F177" s="21">
        <v>504556</v>
      </c>
      <c r="G177" s="21">
        <v>2</v>
      </c>
      <c r="H177" s="21" t="s">
        <v>19</v>
      </c>
      <c r="I177" s="21" t="s">
        <v>23</v>
      </c>
      <c r="J177" s="21">
        <v>32.480860074930767</v>
      </c>
      <c r="K177" s="21">
        <v>11.180523073751971</v>
      </c>
      <c r="L177" s="21" t="s">
        <v>16</v>
      </c>
      <c r="M177" s="12" t="s">
        <v>21</v>
      </c>
      <c r="N177" s="11"/>
    </row>
    <row r="178" spans="1:14" x14ac:dyDescent="0.3">
      <c r="A178" s="20" t="s">
        <v>249</v>
      </c>
      <c r="B178" s="21">
        <v>82978</v>
      </c>
      <c r="C178" s="21">
        <v>1524</v>
      </c>
      <c r="D178" s="21">
        <v>603</v>
      </c>
      <c r="E178" s="21">
        <v>921638</v>
      </c>
      <c r="F178" s="21">
        <v>672743</v>
      </c>
      <c r="G178" s="21">
        <v>12</v>
      </c>
      <c r="H178" s="21" t="s">
        <v>14</v>
      </c>
      <c r="I178" s="21" t="s">
        <v>20</v>
      </c>
      <c r="J178" s="21">
        <v>22.039576755284539</v>
      </c>
      <c r="K178" s="21">
        <v>136.99704047459429</v>
      </c>
      <c r="L178" s="21" t="s">
        <v>27</v>
      </c>
      <c r="M178" s="12" t="s">
        <v>28</v>
      </c>
      <c r="N178" s="11"/>
    </row>
    <row r="179" spans="1:14" x14ac:dyDescent="0.3">
      <c r="A179" s="20" t="s">
        <v>250</v>
      </c>
      <c r="B179" s="21">
        <v>95596</v>
      </c>
      <c r="C179" s="21">
        <v>1752</v>
      </c>
      <c r="D179" s="21">
        <v>824</v>
      </c>
      <c r="E179" s="21">
        <v>525358</v>
      </c>
      <c r="F179" s="21">
        <v>806572</v>
      </c>
      <c r="G179" s="21">
        <v>10</v>
      </c>
      <c r="H179" s="21" t="s">
        <v>19</v>
      </c>
      <c r="I179" s="21" t="s">
        <v>79</v>
      </c>
      <c r="J179" s="21">
        <v>21.992551989622999</v>
      </c>
      <c r="K179" s="21">
        <v>65.134668696656959</v>
      </c>
      <c r="L179" s="21" t="s">
        <v>24</v>
      </c>
      <c r="M179" s="12" t="s">
        <v>21</v>
      </c>
      <c r="N179" s="11"/>
    </row>
    <row r="180" spans="1:14" x14ac:dyDescent="0.3">
      <c r="A180" s="20" t="s">
        <v>251</v>
      </c>
      <c r="B180" s="21">
        <v>100243</v>
      </c>
      <c r="C180" s="21">
        <v>1279</v>
      </c>
      <c r="D180" s="21">
        <v>702</v>
      </c>
      <c r="E180" s="21">
        <v>392449</v>
      </c>
      <c r="F180" s="21">
        <v>479727</v>
      </c>
      <c r="G180" s="21">
        <v>7</v>
      </c>
      <c r="H180" s="21" t="s">
        <v>32</v>
      </c>
      <c r="I180" s="21" t="s">
        <v>108</v>
      </c>
      <c r="J180" s="21">
        <v>15.31079476871203</v>
      </c>
      <c r="K180" s="21">
        <v>81.806735914384646</v>
      </c>
      <c r="L180" s="21" t="s">
        <v>16</v>
      </c>
      <c r="M180" s="12" t="s">
        <v>17</v>
      </c>
      <c r="N180" s="11"/>
    </row>
    <row r="181" spans="1:14" x14ac:dyDescent="0.3">
      <c r="A181" s="20" t="s">
        <v>252</v>
      </c>
      <c r="B181" s="21">
        <v>105154</v>
      </c>
      <c r="C181" s="21">
        <v>1345</v>
      </c>
      <c r="D181" s="21">
        <v>636</v>
      </c>
      <c r="E181" s="21">
        <v>519432</v>
      </c>
      <c r="F181" s="21">
        <v>714370</v>
      </c>
      <c r="G181" s="21">
        <v>11</v>
      </c>
      <c r="H181" s="21" t="s">
        <v>32</v>
      </c>
      <c r="I181" s="21" t="s">
        <v>79</v>
      </c>
      <c r="J181" s="21">
        <v>15.34891682674934</v>
      </c>
      <c r="K181" s="21">
        <v>72.711899995800493</v>
      </c>
      <c r="L181" s="21" t="s">
        <v>27</v>
      </c>
      <c r="M181" s="12" t="s">
        <v>28</v>
      </c>
      <c r="N181" s="11"/>
    </row>
    <row r="182" spans="1:14" x14ac:dyDescent="0.3">
      <c r="A182" s="20" t="s">
        <v>253</v>
      </c>
      <c r="B182" s="21">
        <v>105623</v>
      </c>
      <c r="C182" s="21">
        <v>717</v>
      </c>
      <c r="D182" s="21">
        <v>583</v>
      </c>
      <c r="E182" s="21">
        <v>166542</v>
      </c>
      <c r="F182" s="21">
        <v>397135</v>
      </c>
      <c r="G182" s="21">
        <v>7</v>
      </c>
      <c r="H182" s="21" t="s">
        <v>14</v>
      </c>
      <c r="I182" s="21" t="s">
        <v>140</v>
      </c>
      <c r="J182" s="21">
        <v>8.1459530594662155</v>
      </c>
      <c r="K182" s="21">
        <v>41.935865637629519</v>
      </c>
      <c r="L182" s="21" t="s">
        <v>27</v>
      </c>
      <c r="M182" s="12" t="s">
        <v>28</v>
      </c>
      <c r="N182" s="11"/>
    </row>
    <row r="183" spans="1:14" x14ac:dyDescent="0.3">
      <c r="A183" s="20" t="s">
        <v>254</v>
      </c>
      <c r="B183" s="21">
        <v>100624</v>
      </c>
      <c r="C183" s="21">
        <v>588</v>
      </c>
      <c r="D183" s="21">
        <v>825</v>
      </c>
      <c r="E183" s="21">
        <v>862114</v>
      </c>
      <c r="F183" s="21">
        <v>494466</v>
      </c>
      <c r="G183" s="21">
        <v>3</v>
      </c>
      <c r="H183" s="21" t="s">
        <v>45</v>
      </c>
      <c r="I183" s="21" t="s">
        <v>84</v>
      </c>
      <c r="J183" s="21">
        <v>7.0122435999363963</v>
      </c>
      <c r="K183" s="21">
        <v>174.35253384459199</v>
      </c>
      <c r="L183" s="21" t="s">
        <v>24</v>
      </c>
      <c r="M183" s="12" t="s">
        <v>17</v>
      </c>
      <c r="N183" s="11"/>
    </row>
    <row r="184" spans="1:14" x14ac:dyDescent="0.3">
      <c r="A184" s="20" t="s">
        <v>255</v>
      </c>
      <c r="B184" s="21">
        <v>103211</v>
      </c>
      <c r="C184" s="21">
        <v>479</v>
      </c>
      <c r="D184" s="21">
        <v>591</v>
      </c>
      <c r="E184" s="21">
        <v>982744</v>
      </c>
      <c r="F184" s="21">
        <v>449920</v>
      </c>
      <c r="G184" s="21">
        <v>4</v>
      </c>
      <c r="H184" s="21" t="s">
        <v>14</v>
      </c>
      <c r="I184" s="21" t="s">
        <v>108</v>
      </c>
      <c r="J184" s="21">
        <v>5.5691738283710066</v>
      </c>
      <c r="K184" s="21">
        <v>218.42638691322901</v>
      </c>
      <c r="L184" s="21" t="s">
        <v>27</v>
      </c>
      <c r="M184" s="12" t="s">
        <v>28</v>
      </c>
      <c r="N184" s="11"/>
    </row>
    <row r="185" spans="1:14" x14ac:dyDescent="0.3">
      <c r="A185" s="20" t="s">
        <v>256</v>
      </c>
      <c r="B185" s="21">
        <v>84858</v>
      </c>
      <c r="C185" s="21">
        <v>312</v>
      </c>
      <c r="D185" s="21">
        <v>684</v>
      </c>
      <c r="E185" s="21">
        <v>873266</v>
      </c>
      <c r="F185" s="21">
        <v>590921</v>
      </c>
      <c r="G185" s="21">
        <v>3</v>
      </c>
      <c r="H185" s="21" t="s">
        <v>45</v>
      </c>
      <c r="I185" s="21" t="s">
        <v>105</v>
      </c>
      <c r="J185" s="21">
        <v>4.4120766456904477</v>
      </c>
      <c r="K185" s="21">
        <v>147.7804985776441</v>
      </c>
      <c r="L185" s="21" t="s">
        <v>16</v>
      </c>
      <c r="M185" s="12" t="s">
        <v>17</v>
      </c>
      <c r="N185" s="11"/>
    </row>
    <row r="186" spans="1:14" x14ac:dyDescent="0.3">
      <c r="A186" s="20" t="s">
        <v>257</v>
      </c>
      <c r="B186" s="21">
        <v>97168</v>
      </c>
      <c r="C186" s="21">
        <v>685</v>
      </c>
      <c r="D186" s="21">
        <v>510</v>
      </c>
      <c r="E186" s="21">
        <v>708016</v>
      </c>
      <c r="F186" s="21">
        <v>874267</v>
      </c>
      <c r="G186" s="21">
        <v>4</v>
      </c>
      <c r="H186" s="21" t="s">
        <v>19</v>
      </c>
      <c r="I186" s="21" t="s">
        <v>125</v>
      </c>
      <c r="J186" s="21">
        <v>8.4595751687798462</v>
      </c>
      <c r="K186" s="21">
        <v>80.983955702319776</v>
      </c>
      <c r="L186" s="21" t="s">
        <v>27</v>
      </c>
      <c r="M186" s="12" t="s">
        <v>28</v>
      </c>
      <c r="N186" s="11"/>
    </row>
    <row r="187" spans="1:14" x14ac:dyDescent="0.3">
      <c r="A187" s="20" t="s">
        <v>258</v>
      </c>
      <c r="B187" s="21">
        <v>106712</v>
      </c>
      <c r="C187" s="21">
        <v>331</v>
      </c>
      <c r="D187" s="21">
        <v>846</v>
      </c>
      <c r="E187" s="21">
        <v>584997</v>
      </c>
      <c r="F187" s="21">
        <v>978384</v>
      </c>
      <c r="G187" s="21">
        <v>3</v>
      </c>
      <c r="H187" s="21" t="s">
        <v>14</v>
      </c>
      <c r="I187" s="21" t="s">
        <v>35</v>
      </c>
      <c r="J187" s="21">
        <v>3.72216807856661</v>
      </c>
      <c r="K187" s="21">
        <v>59.792167492518267</v>
      </c>
      <c r="L187" s="21" t="s">
        <v>24</v>
      </c>
      <c r="M187" s="12" t="s">
        <v>21</v>
      </c>
      <c r="N187" s="11"/>
    </row>
    <row r="188" spans="1:14" x14ac:dyDescent="0.3">
      <c r="A188" s="20" t="s">
        <v>259</v>
      </c>
      <c r="B188" s="21">
        <v>111156</v>
      </c>
      <c r="C188" s="21">
        <v>1216</v>
      </c>
      <c r="D188" s="21">
        <v>749</v>
      </c>
      <c r="E188" s="21">
        <v>120601</v>
      </c>
      <c r="F188" s="21">
        <v>984303</v>
      </c>
      <c r="G188" s="21">
        <v>2</v>
      </c>
      <c r="H188" s="21" t="s">
        <v>14</v>
      </c>
      <c r="I188" s="21" t="s">
        <v>145</v>
      </c>
      <c r="J188" s="21">
        <v>13.127496491417469</v>
      </c>
      <c r="K188" s="21">
        <v>12.252426336199321</v>
      </c>
      <c r="L188" s="21" t="s">
        <v>16</v>
      </c>
      <c r="M188" s="12" t="s">
        <v>21</v>
      </c>
      <c r="N188" s="11"/>
    </row>
    <row r="189" spans="1:14" x14ac:dyDescent="0.3">
      <c r="A189" s="20" t="s">
        <v>260</v>
      </c>
      <c r="B189" s="21">
        <v>115411</v>
      </c>
      <c r="C189" s="21">
        <v>1388</v>
      </c>
      <c r="D189" s="21">
        <v>516</v>
      </c>
      <c r="E189" s="21">
        <v>854371</v>
      </c>
      <c r="F189" s="21">
        <v>816663</v>
      </c>
      <c r="G189" s="21">
        <v>2</v>
      </c>
      <c r="H189" s="21" t="s">
        <v>45</v>
      </c>
      <c r="I189" s="21" t="s">
        <v>96</v>
      </c>
      <c r="J189" s="21">
        <v>14.43189990555493</v>
      </c>
      <c r="K189" s="21">
        <v>104.61732685330421</v>
      </c>
      <c r="L189" s="21" t="s">
        <v>27</v>
      </c>
      <c r="M189" s="12" t="s">
        <v>28</v>
      </c>
      <c r="N189" s="11"/>
    </row>
    <row r="190" spans="1:14" x14ac:dyDescent="0.3">
      <c r="A190" s="20" t="s">
        <v>261</v>
      </c>
      <c r="B190" s="21">
        <v>73973</v>
      </c>
      <c r="C190" s="21">
        <v>374</v>
      </c>
      <c r="D190" s="21">
        <v>556</v>
      </c>
      <c r="E190" s="21">
        <v>420641</v>
      </c>
      <c r="F190" s="21">
        <v>850765</v>
      </c>
      <c r="G190" s="21">
        <v>6</v>
      </c>
      <c r="H190" s="21" t="s">
        <v>19</v>
      </c>
      <c r="I190" s="21" t="s">
        <v>69</v>
      </c>
      <c r="J190" s="21">
        <v>6.0670785286523454</v>
      </c>
      <c r="K190" s="21">
        <v>49.442678060333932</v>
      </c>
      <c r="L190" s="21" t="s">
        <v>27</v>
      </c>
      <c r="M190" s="12" t="s">
        <v>28</v>
      </c>
      <c r="N190" s="11"/>
    </row>
    <row r="191" spans="1:14" x14ac:dyDescent="0.3">
      <c r="A191" s="20" t="s">
        <v>262</v>
      </c>
      <c r="B191" s="21">
        <v>78931</v>
      </c>
      <c r="C191" s="21">
        <v>2030</v>
      </c>
      <c r="D191" s="21">
        <v>597</v>
      </c>
      <c r="E191" s="21">
        <v>240980</v>
      </c>
      <c r="F191" s="21">
        <v>863363</v>
      </c>
      <c r="G191" s="21">
        <v>6</v>
      </c>
      <c r="H191" s="21" t="s">
        <v>14</v>
      </c>
      <c r="I191" s="21" t="s">
        <v>125</v>
      </c>
      <c r="J191" s="21">
        <v>30.862398804018699</v>
      </c>
      <c r="K191" s="21">
        <v>27.911782182002241</v>
      </c>
      <c r="L191" s="21" t="s">
        <v>27</v>
      </c>
      <c r="M191" s="12" t="s">
        <v>28</v>
      </c>
      <c r="N191" s="11"/>
    </row>
    <row r="192" spans="1:14" x14ac:dyDescent="0.3">
      <c r="A192" s="20" t="s">
        <v>263</v>
      </c>
      <c r="B192" s="21">
        <v>88085</v>
      </c>
      <c r="C192" s="21">
        <v>2073</v>
      </c>
      <c r="D192" s="21">
        <v>659</v>
      </c>
      <c r="E192" s="21">
        <v>371648</v>
      </c>
      <c r="F192" s="21">
        <v>407283</v>
      </c>
      <c r="G192" s="21">
        <v>7</v>
      </c>
      <c r="H192" s="21" t="s">
        <v>45</v>
      </c>
      <c r="I192" s="21" t="s">
        <v>91</v>
      </c>
      <c r="J192" s="21">
        <v>28.240903672588971</v>
      </c>
      <c r="K192" s="21">
        <v>91.250555510541815</v>
      </c>
      <c r="L192" s="21" t="s">
        <v>16</v>
      </c>
      <c r="M192" s="12" t="s">
        <v>17</v>
      </c>
      <c r="N192" s="11"/>
    </row>
    <row r="193" spans="1:14" x14ac:dyDescent="0.3">
      <c r="A193" s="20" t="s">
        <v>264</v>
      </c>
      <c r="B193" s="21">
        <v>103146</v>
      </c>
      <c r="C193" s="21">
        <v>2593</v>
      </c>
      <c r="D193" s="21">
        <v>481</v>
      </c>
      <c r="E193" s="21">
        <v>767006</v>
      </c>
      <c r="F193" s="21">
        <v>200769</v>
      </c>
      <c r="G193" s="21">
        <v>5</v>
      </c>
      <c r="H193" s="21" t="s">
        <v>19</v>
      </c>
      <c r="I193" s="21" t="s">
        <v>145</v>
      </c>
      <c r="J193" s="21">
        <v>30.166947821534521</v>
      </c>
      <c r="K193" s="21">
        <v>382.0340789663743</v>
      </c>
      <c r="L193" s="21" t="s">
        <v>27</v>
      </c>
      <c r="M193" s="12" t="s">
        <v>28</v>
      </c>
      <c r="N193" s="11"/>
    </row>
    <row r="194" spans="1:14" x14ac:dyDescent="0.3">
      <c r="A194" s="20" t="s">
        <v>265</v>
      </c>
      <c r="B194" s="21">
        <v>91455</v>
      </c>
      <c r="C194" s="21">
        <v>2718</v>
      </c>
      <c r="D194" s="21">
        <v>501</v>
      </c>
      <c r="E194" s="21">
        <v>783532</v>
      </c>
      <c r="F194" s="21">
        <v>552214</v>
      </c>
      <c r="G194" s="21">
        <v>2</v>
      </c>
      <c r="H194" s="21" t="s">
        <v>19</v>
      </c>
      <c r="I194" s="21" t="s">
        <v>30</v>
      </c>
      <c r="J194" s="21">
        <v>35.663441036575357</v>
      </c>
      <c r="K194" s="21">
        <v>141.88919513087319</v>
      </c>
      <c r="L194" s="21" t="s">
        <v>27</v>
      </c>
      <c r="M194" s="12" t="s">
        <v>28</v>
      </c>
      <c r="N194" s="11"/>
    </row>
    <row r="195" spans="1:14" x14ac:dyDescent="0.3">
      <c r="A195" s="20" t="s">
        <v>266</v>
      </c>
      <c r="B195" s="21">
        <v>97822</v>
      </c>
      <c r="C195" s="21">
        <v>1706</v>
      </c>
      <c r="D195" s="21">
        <v>588</v>
      </c>
      <c r="E195" s="21">
        <v>465151</v>
      </c>
      <c r="F195" s="21">
        <v>264752</v>
      </c>
      <c r="G195" s="21">
        <v>1</v>
      </c>
      <c r="H195" s="21" t="s">
        <v>45</v>
      </c>
      <c r="I195" s="21" t="s">
        <v>23</v>
      </c>
      <c r="J195" s="21">
        <v>20.92780765063074</v>
      </c>
      <c r="K195" s="21">
        <v>175.69310146854411</v>
      </c>
      <c r="L195" s="21" t="s">
        <v>27</v>
      </c>
      <c r="M195" s="12" t="s">
        <v>28</v>
      </c>
      <c r="N195" s="11"/>
    </row>
    <row r="196" spans="1:14" x14ac:dyDescent="0.3">
      <c r="A196" s="20" t="s">
        <v>267</v>
      </c>
      <c r="B196" s="21">
        <v>114645</v>
      </c>
      <c r="C196" s="21">
        <v>798</v>
      </c>
      <c r="D196" s="21">
        <v>751</v>
      </c>
      <c r="E196" s="21">
        <v>940441</v>
      </c>
      <c r="F196" s="21">
        <v>538806</v>
      </c>
      <c r="G196" s="21">
        <v>7</v>
      </c>
      <c r="H196" s="21" t="s">
        <v>32</v>
      </c>
      <c r="I196" s="21" t="s">
        <v>53</v>
      </c>
      <c r="J196" s="21">
        <v>8.3527410702603699</v>
      </c>
      <c r="K196" s="21">
        <v>174.5416717705445</v>
      </c>
      <c r="L196" s="21" t="s">
        <v>24</v>
      </c>
      <c r="M196" s="12" t="s">
        <v>17</v>
      </c>
      <c r="N196" s="11"/>
    </row>
    <row r="197" spans="1:14" x14ac:dyDescent="0.3">
      <c r="A197" s="20" t="s">
        <v>268</v>
      </c>
      <c r="B197" s="21">
        <v>82806</v>
      </c>
      <c r="C197" s="21">
        <v>1855</v>
      </c>
      <c r="D197" s="21">
        <v>521</v>
      </c>
      <c r="E197" s="21">
        <v>932421</v>
      </c>
      <c r="F197" s="21">
        <v>759255</v>
      </c>
      <c r="G197" s="21">
        <v>4</v>
      </c>
      <c r="H197" s="21" t="s">
        <v>45</v>
      </c>
      <c r="I197" s="21" t="s">
        <v>69</v>
      </c>
      <c r="J197" s="21">
        <v>26.882109992029559</v>
      </c>
      <c r="K197" s="21">
        <v>122.80735721200389</v>
      </c>
      <c r="L197" s="21" t="s">
        <v>27</v>
      </c>
      <c r="M197" s="12" t="s">
        <v>28</v>
      </c>
      <c r="N197" s="11"/>
    </row>
    <row r="198" spans="1:14" x14ac:dyDescent="0.3">
      <c r="A198" s="20" t="s">
        <v>269</v>
      </c>
      <c r="B198" s="21">
        <v>112692</v>
      </c>
      <c r="C198" s="21">
        <v>597</v>
      </c>
      <c r="D198" s="21">
        <v>684</v>
      </c>
      <c r="E198" s="21">
        <v>794089</v>
      </c>
      <c r="F198" s="21">
        <v>621835</v>
      </c>
      <c r="G198" s="21">
        <v>1</v>
      </c>
      <c r="H198" s="21" t="s">
        <v>19</v>
      </c>
      <c r="I198" s="21" t="s">
        <v>63</v>
      </c>
      <c r="J198" s="21">
        <v>6.3571504632094564</v>
      </c>
      <c r="K198" s="21">
        <v>127.7009174459463</v>
      </c>
      <c r="L198" s="21" t="s">
        <v>16</v>
      </c>
      <c r="M198" s="12" t="s">
        <v>17</v>
      </c>
      <c r="N198" s="11"/>
    </row>
    <row r="199" spans="1:14" x14ac:dyDescent="0.3">
      <c r="A199" s="20" t="s">
        <v>270</v>
      </c>
      <c r="B199" s="21">
        <v>119160</v>
      </c>
      <c r="C199" s="21">
        <v>715</v>
      </c>
      <c r="D199" s="21">
        <v>595</v>
      </c>
      <c r="E199" s="21">
        <v>768586</v>
      </c>
      <c r="F199" s="21">
        <v>246901</v>
      </c>
      <c r="G199" s="21">
        <v>1</v>
      </c>
      <c r="H199" s="21" t="s">
        <v>14</v>
      </c>
      <c r="I199" s="21" t="s">
        <v>20</v>
      </c>
      <c r="J199" s="21">
        <v>7.2004028197381684</v>
      </c>
      <c r="K199" s="21">
        <v>311.29319038805028</v>
      </c>
      <c r="L199" s="21" t="s">
        <v>27</v>
      </c>
      <c r="M199" s="12" t="s">
        <v>28</v>
      </c>
      <c r="N199" s="11"/>
    </row>
    <row r="200" spans="1:14" x14ac:dyDescent="0.3">
      <c r="A200" s="20" t="s">
        <v>271</v>
      </c>
      <c r="B200" s="21">
        <v>79613</v>
      </c>
      <c r="C200" s="21">
        <v>2231</v>
      </c>
      <c r="D200" s="21">
        <v>553</v>
      </c>
      <c r="E200" s="21">
        <v>427160</v>
      </c>
      <c r="F200" s="21">
        <v>774475</v>
      </c>
      <c r="G200" s="21">
        <v>4</v>
      </c>
      <c r="H200" s="21" t="s">
        <v>14</v>
      </c>
      <c r="I200" s="21" t="s">
        <v>105</v>
      </c>
      <c r="J200" s="21">
        <v>33.627673872357533</v>
      </c>
      <c r="K200" s="21">
        <v>55.154782271861578</v>
      </c>
      <c r="L200" s="21" t="s">
        <v>27</v>
      </c>
      <c r="M200" s="12" t="s">
        <v>28</v>
      </c>
      <c r="N200" s="11"/>
    </row>
    <row r="201" spans="1:14" x14ac:dyDescent="0.3">
      <c r="A201" s="20" t="s">
        <v>272</v>
      </c>
      <c r="B201" s="21">
        <v>113992</v>
      </c>
      <c r="C201" s="21">
        <v>2345</v>
      </c>
      <c r="D201" s="21">
        <v>460</v>
      </c>
      <c r="E201" s="21">
        <v>412630</v>
      </c>
      <c r="F201" s="21">
        <v>961247</v>
      </c>
      <c r="G201" s="21">
        <v>9</v>
      </c>
      <c r="H201" s="21" t="s">
        <v>45</v>
      </c>
      <c r="I201" s="21" t="s">
        <v>172</v>
      </c>
      <c r="J201" s="21">
        <v>24.685942873184079</v>
      </c>
      <c r="K201" s="21">
        <v>42.926531890346602</v>
      </c>
      <c r="L201" s="21" t="s">
        <v>27</v>
      </c>
      <c r="M201" s="12" t="s">
        <v>28</v>
      </c>
      <c r="N201" s="11"/>
    </row>
    <row r="202" spans="1:14" x14ac:dyDescent="0.3">
      <c r="A202" s="20" t="s">
        <v>273</v>
      </c>
      <c r="B202" s="21">
        <v>114729</v>
      </c>
      <c r="C202" s="21">
        <v>574</v>
      </c>
      <c r="D202" s="21">
        <v>639</v>
      </c>
      <c r="E202" s="21">
        <v>403874</v>
      </c>
      <c r="F202" s="21">
        <v>602722</v>
      </c>
      <c r="G202" s="21">
        <v>8</v>
      </c>
      <c r="H202" s="21" t="s">
        <v>32</v>
      </c>
      <c r="I202" s="21" t="s">
        <v>49</v>
      </c>
      <c r="J202" s="21">
        <v>6.0037130978218238</v>
      </c>
      <c r="K202" s="21">
        <v>67.008338836146692</v>
      </c>
      <c r="L202" s="21" t="s">
        <v>27</v>
      </c>
      <c r="M202" s="12" t="s">
        <v>28</v>
      </c>
      <c r="N202" s="11"/>
    </row>
    <row r="203" spans="1:14" x14ac:dyDescent="0.3">
      <c r="A203" s="20" t="s">
        <v>274</v>
      </c>
      <c r="B203" s="21">
        <v>98282</v>
      </c>
      <c r="C203" s="21">
        <v>723</v>
      </c>
      <c r="D203" s="21">
        <v>745</v>
      </c>
      <c r="E203" s="21">
        <v>583781</v>
      </c>
      <c r="F203" s="21">
        <v>942651</v>
      </c>
      <c r="G203" s="21">
        <v>11</v>
      </c>
      <c r="H203" s="21" t="s">
        <v>45</v>
      </c>
      <c r="I203" s="21" t="s">
        <v>35</v>
      </c>
      <c r="J203" s="21">
        <v>8.8276591847947739</v>
      </c>
      <c r="K203" s="21">
        <v>61.929706752552107</v>
      </c>
      <c r="L203" s="21" t="s">
        <v>16</v>
      </c>
      <c r="M203" s="12" t="s">
        <v>21</v>
      </c>
      <c r="N203" s="11"/>
    </row>
    <row r="204" spans="1:14" x14ac:dyDescent="0.3">
      <c r="A204" s="20" t="s">
        <v>275</v>
      </c>
      <c r="B204" s="21">
        <v>104091</v>
      </c>
      <c r="C204" s="21">
        <v>2553</v>
      </c>
      <c r="D204" s="21">
        <v>638</v>
      </c>
      <c r="E204" s="21">
        <v>644924</v>
      </c>
      <c r="F204" s="21">
        <v>542848</v>
      </c>
      <c r="G204" s="21">
        <v>4</v>
      </c>
      <c r="H204" s="21" t="s">
        <v>45</v>
      </c>
      <c r="I204" s="21" t="s">
        <v>69</v>
      </c>
      <c r="J204" s="21">
        <v>29.431939360751649</v>
      </c>
      <c r="K204" s="21">
        <v>118.8037903796274</v>
      </c>
      <c r="L204" s="21" t="s">
        <v>27</v>
      </c>
      <c r="M204" s="12" t="s">
        <v>28</v>
      </c>
      <c r="N204" s="11"/>
    </row>
    <row r="205" spans="1:14" x14ac:dyDescent="0.3">
      <c r="A205" s="20" t="s">
        <v>276</v>
      </c>
      <c r="B205" s="21">
        <v>73105</v>
      </c>
      <c r="C205" s="21">
        <v>553</v>
      </c>
      <c r="D205" s="21">
        <v>469</v>
      </c>
      <c r="E205" s="21">
        <v>546318</v>
      </c>
      <c r="F205" s="21">
        <v>774361</v>
      </c>
      <c r="G205" s="21">
        <v>11</v>
      </c>
      <c r="H205" s="21" t="s">
        <v>19</v>
      </c>
      <c r="I205" s="21" t="s">
        <v>75</v>
      </c>
      <c r="J205" s="21">
        <v>9.0773544901169547</v>
      </c>
      <c r="K205" s="21">
        <v>70.550815446542373</v>
      </c>
      <c r="L205" s="21" t="s">
        <v>27</v>
      </c>
      <c r="M205" s="12" t="s">
        <v>28</v>
      </c>
      <c r="N205" s="11"/>
    </row>
    <row r="206" spans="1:14" x14ac:dyDescent="0.3">
      <c r="A206" s="20" t="s">
        <v>277</v>
      </c>
      <c r="B206" s="21">
        <v>74624</v>
      </c>
      <c r="C206" s="21">
        <v>2155</v>
      </c>
      <c r="D206" s="21">
        <v>480</v>
      </c>
      <c r="E206" s="21">
        <v>53049</v>
      </c>
      <c r="F206" s="21">
        <v>906442</v>
      </c>
      <c r="G206" s="21">
        <v>5</v>
      </c>
      <c r="H206" s="21" t="s">
        <v>14</v>
      </c>
      <c r="I206" s="21" t="s">
        <v>46</v>
      </c>
      <c r="J206" s="21">
        <v>34.653730703259008</v>
      </c>
      <c r="K206" s="21">
        <v>5.8524428479704156</v>
      </c>
      <c r="L206" s="21" t="s">
        <v>27</v>
      </c>
      <c r="M206" s="12" t="s">
        <v>28</v>
      </c>
      <c r="N206" s="11"/>
    </row>
    <row r="207" spans="1:14" x14ac:dyDescent="0.3">
      <c r="A207" s="20" t="s">
        <v>278</v>
      </c>
      <c r="B207" s="21">
        <v>93017</v>
      </c>
      <c r="C207" s="21">
        <v>1523</v>
      </c>
      <c r="D207" s="21">
        <v>810</v>
      </c>
      <c r="E207" s="21">
        <v>773970</v>
      </c>
      <c r="F207" s="21">
        <v>295563</v>
      </c>
      <c r="G207" s="21">
        <v>6</v>
      </c>
      <c r="H207" s="21" t="s">
        <v>32</v>
      </c>
      <c r="I207" s="21" t="s">
        <v>113</v>
      </c>
      <c r="J207" s="21">
        <v>19.6480213294344</v>
      </c>
      <c r="K207" s="21">
        <v>261.86295307599391</v>
      </c>
      <c r="L207" s="21" t="s">
        <v>24</v>
      </c>
      <c r="M207" s="12" t="s">
        <v>17</v>
      </c>
      <c r="N207" s="11"/>
    </row>
    <row r="208" spans="1:14" x14ac:dyDescent="0.3">
      <c r="A208" s="20" t="s">
        <v>279</v>
      </c>
      <c r="B208" s="21">
        <v>108350</v>
      </c>
      <c r="C208" s="21">
        <v>1661</v>
      </c>
      <c r="D208" s="21">
        <v>736</v>
      </c>
      <c r="E208" s="21">
        <v>767962</v>
      </c>
      <c r="F208" s="21">
        <v>699957</v>
      </c>
      <c r="G208" s="21">
        <v>5</v>
      </c>
      <c r="H208" s="21" t="s">
        <v>14</v>
      </c>
      <c r="I208" s="21" t="s">
        <v>152</v>
      </c>
      <c r="J208" s="21">
        <v>18.395939086294419</v>
      </c>
      <c r="K208" s="21">
        <v>109.7155968152329</v>
      </c>
      <c r="L208" s="21" t="s">
        <v>16</v>
      </c>
      <c r="M208" s="12" t="s">
        <v>17</v>
      </c>
      <c r="N208" s="11"/>
    </row>
    <row r="209" spans="1:14" x14ac:dyDescent="0.3">
      <c r="A209" s="20" t="s">
        <v>280</v>
      </c>
      <c r="B209" s="21">
        <v>115895</v>
      </c>
      <c r="C209" s="21">
        <v>870</v>
      </c>
      <c r="D209" s="21">
        <v>628</v>
      </c>
      <c r="E209" s="21">
        <v>823688</v>
      </c>
      <c r="F209" s="21">
        <v>890635</v>
      </c>
      <c r="G209" s="21">
        <v>8</v>
      </c>
      <c r="H209" s="21" t="s">
        <v>32</v>
      </c>
      <c r="I209" s="21" t="s">
        <v>178</v>
      </c>
      <c r="J209" s="21">
        <v>9.0081539324388462</v>
      </c>
      <c r="K209" s="21">
        <v>92.483228258489731</v>
      </c>
      <c r="L209" s="21" t="s">
        <v>27</v>
      </c>
      <c r="M209" s="12" t="s">
        <v>28</v>
      </c>
      <c r="N209" s="11"/>
    </row>
    <row r="210" spans="1:14" x14ac:dyDescent="0.3">
      <c r="A210" s="20" t="s">
        <v>281</v>
      </c>
      <c r="B210" s="21">
        <v>105685</v>
      </c>
      <c r="C210" s="21">
        <v>1495</v>
      </c>
      <c r="D210" s="21">
        <v>711</v>
      </c>
      <c r="E210" s="21">
        <v>922555</v>
      </c>
      <c r="F210" s="21">
        <v>526093</v>
      </c>
      <c r="G210" s="21">
        <v>1</v>
      </c>
      <c r="H210" s="21" t="s">
        <v>14</v>
      </c>
      <c r="I210" s="21" t="s">
        <v>152</v>
      </c>
      <c r="J210" s="21">
        <v>16.97497279651795</v>
      </c>
      <c r="K210" s="21">
        <v>175.35967975243921</v>
      </c>
      <c r="L210" s="21" t="s">
        <v>16</v>
      </c>
      <c r="M210" s="12" t="s">
        <v>17</v>
      </c>
      <c r="N210" s="11"/>
    </row>
    <row r="211" spans="1:14" x14ac:dyDescent="0.3">
      <c r="A211" s="20" t="s">
        <v>282</v>
      </c>
      <c r="B211" s="21">
        <v>113454</v>
      </c>
      <c r="C211" s="21">
        <v>2970</v>
      </c>
      <c r="D211" s="21">
        <v>829</v>
      </c>
      <c r="E211" s="21">
        <v>545174</v>
      </c>
      <c r="F211" s="21">
        <v>207289</v>
      </c>
      <c r="G211" s="21">
        <v>8</v>
      </c>
      <c r="H211" s="21" t="s">
        <v>32</v>
      </c>
      <c r="I211" s="21" t="s">
        <v>204</v>
      </c>
      <c r="J211" s="21">
        <v>31.413612565445021</v>
      </c>
      <c r="K211" s="21">
        <v>263.00189590378648</v>
      </c>
      <c r="L211" s="21" t="s">
        <v>24</v>
      </c>
      <c r="M211" s="12" t="s">
        <v>17</v>
      </c>
      <c r="N211" s="11"/>
    </row>
    <row r="212" spans="1:14" x14ac:dyDescent="0.3">
      <c r="A212" s="20" t="s">
        <v>283</v>
      </c>
      <c r="B212" s="21">
        <v>94653</v>
      </c>
      <c r="C212" s="21">
        <v>2663</v>
      </c>
      <c r="D212" s="21">
        <v>568</v>
      </c>
      <c r="E212" s="21">
        <v>566455</v>
      </c>
      <c r="F212" s="21">
        <v>579601</v>
      </c>
      <c r="G212" s="21">
        <v>7</v>
      </c>
      <c r="H212" s="21" t="s">
        <v>32</v>
      </c>
      <c r="I212" s="21" t="s">
        <v>140</v>
      </c>
      <c r="J212" s="21">
        <v>33.761212005958598</v>
      </c>
      <c r="K212" s="21">
        <v>97.731887971207783</v>
      </c>
      <c r="L212" s="21" t="s">
        <v>27</v>
      </c>
      <c r="M212" s="12" t="s">
        <v>28</v>
      </c>
      <c r="N212" s="11"/>
    </row>
    <row r="213" spans="1:14" x14ac:dyDescent="0.3">
      <c r="A213" s="20" t="s">
        <v>284</v>
      </c>
      <c r="B213" s="21">
        <v>112985</v>
      </c>
      <c r="C213" s="21">
        <v>2927</v>
      </c>
      <c r="D213" s="21">
        <v>559</v>
      </c>
      <c r="E213" s="21">
        <v>527185</v>
      </c>
      <c r="F213" s="21">
        <v>850969</v>
      </c>
      <c r="G213" s="21">
        <v>5</v>
      </c>
      <c r="H213" s="21" t="s">
        <v>14</v>
      </c>
      <c r="I213" s="21" t="s">
        <v>63</v>
      </c>
      <c r="J213" s="21">
        <v>31.087312475107311</v>
      </c>
      <c r="K213" s="21">
        <v>61.951140405819707</v>
      </c>
      <c r="L213" s="21" t="s">
        <v>27</v>
      </c>
      <c r="M213" s="12" t="s">
        <v>28</v>
      </c>
      <c r="N213" s="11"/>
    </row>
    <row r="214" spans="1:14" x14ac:dyDescent="0.3">
      <c r="A214" s="20" t="s">
        <v>285</v>
      </c>
      <c r="B214" s="21">
        <v>72190</v>
      </c>
      <c r="C214" s="21">
        <v>560</v>
      </c>
      <c r="D214" s="21">
        <v>554</v>
      </c>
      <c r="E214" s="21">
        <v>561401</v>
      </c>
      <c r="F214" s="21">
        <v>486652</v>
      </c>
      <c r="G214" s="21">
        <v>11</v>
      </c>
      <c r="H214" s="21" t="s">
        <v>19</v>
      </c>
      <c r="I214" s="21" t="s">
        <v>238</v>
      </c>
      <c r="J214" s="21">
        <v>9.3087685274968841</v>
      </c>
      <c r="K214" s="21">
        <v>115.3598464611262</v>
      </c>
      <c r="L214" s="21" t="s">
        <v>27</v>
      </c>
      <c r="M214" s="12" t="s">
        <v>28</v>
      </c>
      <c r="N214" s="11"/>
    </row>
    <row r="215" spans="1:14" x14ac:dyDescent="0.3">
      <c r="A215" s="20" t="s">
        <v>286</v>
      </c>
      <c r="B215" s="21">
        <v>80428</v>
      </c>
      <c r="C215" s="21">
        <v>2455</v>
      </c>
      <c r="D215" s="21">
        <v>641</v>
      </c>
      <c r="E215" s="21">
        <v>569995</v>
      </c>
      <c r="F215" s="21">
        <v>359915</v>
      </c>
      <c r="G215" s="21">
        <v>9</v>
      </c>
      <c r="H215" s="21" t="s">
        <v>14</v>
      </c>
      <c r="I215" s="21" t="s">
        <v>89</v>
      </c>
      <c r="J215" s="21">
        <v>36.629034664544683</v>
      </c>
      <c r="K215" s="21">
        <v>158.36933720461781</v>
      </c>
      <c r="L215" s="21" t="s">
        <v>27</v>
      </c>
      <c r="M215" s="12" t="s">
        <v>28</v>
      </c>
      <c r="N215" s="11"/>
    </row>
    <row r="216" spans="1:14" x14ac:dyDescent="0.3">
      <c r="A216" s="20" t="s">
        <v>287</v>
      </c>
      <c r="B216" s="21">
        <v>91859</v>
      </c>
      <c r="C216" s="21">
        <v>1264</v>
      </c>
      <c r="D216" s="21">
        <v>661</v>
      </c>
      <c r="E216" s="21">
        <v>814178</v>
      </c>
      <c r="F216" s="21">
        <v>847497</v>
      </c>
      <c r="G216" s="21">
        <v>10</v>
      </c>
      <c r="H216" s="21" t="s">
        <v>14</v>
      </c>
      <c r="I216" s="21" t="s">
        <v>113</v>
      </c>
      <c r="J216" s="21">
        <v>16.512263360149799</v>
      </c>
      <c r="K216" s="21">
        <v>96.06854065560114</v>
      </c>
      <c r="L216" s="21" t="s">
        <v>16</v>
      </c>
      <c r="M216" s="12" t="s">
        <v>17</v>
      </c>
      <c r="N216" s="11"/>
    </row>
    <row r="217" spans="1:14" x14ac:dyDescent="0.3">
      <c r="A217" s="20" t="s">
        <v>288</v>
      </c>
      <c r="B217" s="21">
        <v>73096</v>
      </c>
      <c r="C217" s="21">
        <v>354</v>
      </c>
      <c r="D217" s="21">
        <v>624</v>
      </c>
      <c r="E217" s="21">
        <v>742643</v>
      </c>
      <c r="F217" s="21">
        <v>442626</v>
      </c>
      <c r="G217" s="21">
        <v>10</v>
      </c>
      <c r="H217" s="21" t="s">
        <v>45</v>
      </c>
      <c r="I217" s="21" t="s">
        <v>204</v>
      </c>
      <c r="J217" s="21">
        <v>5.8115355149392576</v>
      </c>
      <c r="K217" s="21">
        <v>167.78115158169649</v>
      </c>
      <c r="L217" s="21" t="s">
        <v>27</v>
      </c>
      <c r="M217" s="12" t="s">
        <v>28</v>
      </c>
      <c r="N217" s="11"/>
    </row>
    <row r="218" spans="1:14" x14ac:dyDescent="0.3">
      <c r="A218" s="20" t="s">
        <v>289</v>
      </c>
      <c r="B218" s="21">
        <v>117200</v>
      </c>
      <c r="C218" s="21">
        <v>2555</v>
      </c>
      <c r="D218" s="21">
        <v>697</v>
      </c>
      <c r="E218" s="21">
        <v>452454</v>
      </c>
      <c r="F218" s="21">
        <v>343862</v>
      </c>
      <c r="G218" s="21">
        <v>5</v>
      </c>
      <c r="H218" s="21" t="s">
        <v>32</v>
      </c>
      <c r="I218" s="21" t="s">
        <v>238</v>
      </c>
      <c r="J218" s="21">
        <v>26.160409556314001</v>
      </c>
      <c r="K218" s="21">
        <v>131.5801106257743</v>
      </c>
      <c r="L218" s="21" t="s">
        <v>16</v>
      </c>
      <c r="M218" s="12" t="s">
        <v>17</v>
      </c>
      <c r="N218" s="11"/>
    </row>
    <row r="219" spans="1:14" x14ac:dyDescent="0.3">
      <c r="A219" s="20" t="s">
        <v>290</v>
      </c>
      <c r="B219" s="21">
        <v>91414</v>
      </c>
      <c r="C219" s="21">
        <v>814</v>
      </c>
      <c r="D219" s="21">
        <v>636</v>
      </c>
      <c r="E219" s="21">
        <v>995317</v>
      </c>
      <c r="F219" s="21">
        <v>868315</v>
      </c>
      <c r="G219" s="21">
        <v>7</v>
      </c>
      <c r="H219" s="21" t="s">
        <v>14</v>
      </c>
      <c r="I219" s="21" t="s">
        <v>122</v>
      </c>
      <c r="J219" s="21">
        <v>10.68545299407093</v>
      </c>
      <c r="K219" s="21">
        <v>114.6262589037389</v>
      </c>
      <c r="L219" s="21" t="s">
        <v>27</v>
      </c>
      <c r="M219" s="12" t="s">
        <v>28</v>
      </c>
      <c r="N219" s="11"/>
    </row>
    <row r="220" spans="1:14" x14ac:dyDescent="0.3">
      <c r="A220" s="20" t="s">
        <v>291</v>
      </c>
      <c r="B220" s="21">
        <v>103770</v>
      </c>
      <c r="C220" s="21">
        <v>1997</v>
      </c>
      <c r="D220" s="21">
        <v>486</v>
      </c>
      <c r="E220" s="21">
        <v>493884</v>
      </c>
      <c r="F220" s="21">
        <v>452340</v>
      </c>
      <c r="G220" s="21">
        <v>6</v>
      </c>
      <c r="H220" s="21" t="s">
        <v>32</v>
      </c>
      <c r="I220" s="21" t="s">
        <v>152</v>
      </c>
      <c r="J220" s="21">
        <v>23.093379589476729</v>
      </c>
      <c r="K220" s="21">
        <v>109.1842419419021</v>
      </c>
      <c r="L220" s="21" t="s">
        <v>27</v>
      </c>
      <c r="M220" s="12" t="s">
        <v>28</v>
      </c>
      <c r="N220" s="11"/>
    </row>
    <row r="221" spans="1:14" x14ac:dyDescent="0.3">
      <c r="A221" s="20" t="s">
        <v>292</v>
      </c>
      <c r="B221" s="21">
        <v>78117</v>
      </c>
      <c r="C221" s="21">
        <v>2123</v>
      </c>
      <c r="D221" s="21">
        <v>497</v>
      </c>
      <c r="E221" s="21">
        <v>272944</v>
      </c>
      <c r="F221" s="21">
        <v>868589</v>
      </c>
      <c r="G221" s="21">
        <v>11</v>
      </c>
      <c r="H221" s="21" t="s">
        <v>14</v>
      </c>
      <c r="I221" s="21" t="s">
        <v>152</v>
      </c>
      <c r="J221" s="21">
        <v>32.612619532240103</v>
      </c>
      <c r="K221" s="21">
        <v>31.42383797169893</v>
      </c>
      <c r="L221" s="21" t="s">
        <v>27</v>
      </c>
      <c r="M221" s="12" t="s">
        <v>28</v>
      </c>
      <c r="N221" s="11"/>
    </row>
    <row r="222" spans="1:14" x14ac:dyDescent="0.3">
      <c r="A222" s="20" t="s">
        <v>293</v>
      </c>
      <c r="B222" s="21">
        <v>109286</v>
      </c>
      <c r="C222" s="21">
        <v>2184</v>
      </c>
      <c r="D222" s="21">
        <v>827</v>
      </c>
      <c r="E222" s="21">
        <v>502376</v>
      </c>
      <c r="F222" s="21">
        <v>441131</v>
      </c>
      <c r="G222" s="21">
        <v>10</v>
      </c>
      <c r="H222" s="21" t="s">
        <v>14</v>
      </c>
      <c r="I222" s="21" t="s">
        <v>82</v>
      </c>
      <c r="J222" s="21">
        <v>23.98111377486595</v>
      </c>
      <c r="K222" s="21">
        <v>113.8836309395622</v>
      </c>
      <c r="L222" s="21" t="s">
        <v>24</v>
      </c>
      <c r="M222" s="12" t="s">
        <v>17</v>
      </c>
      <c r="N222" s="11"/>
    </row>
    <row r="223" spans="1:14" x14ac:dyDescent="0.3">
      <c r="A223" s="20" t="s">
        <v>294</v>
      </c>
      <c r="B223" s="21">
        <v>113007</v>
      </c>
      <c r="C223" s="21">
        <v>2692</v>
      </c>
      <c r="D223" s="21">
        <v>801</v>
      </c>
      <c r="E223" s="21">
        <v>534649</v>
      </c>
      <c r="F223" s="21">
        <v>887692</v>
      </c>
      <c r="G223" s="21">
        <v>8</v>
      </c>
      <c r="H223" s="21" t="s">
        <v>32</v>
      </c>
      <c r="I223" s="21" t="s">
        <v>113</v>
      </c>
      <c r="J223" s="21">
        <v>28.585839815232681</v>
      </c>
      <c r="K223" s="21">
        <v>60.229110997958763</v>
      </c>
      <c r="L223" s="21" t="s">
        <v>24</v>
      </c>
      <c r="M223" s="12" t="s">
        <v>21</v>
      </c>
      <c r="N223" s="11"/>
    </row>
    <row r="224" spans="1:14" x14ac:dyDescent="0.3">
      <c r="A224" s="20" t="s">
        <v>295</v>
      </c>
      <c r="B224" s="21">
        <v>79614</v>
      </c>
      <c r="C224" s="21">
        <v>775</v>
      </c>
      <c r="D224" s="21">
        <v>513</v>
      </c>
      <c r="E224" s="21">
        <v>186485</v>
      </c>
      <c r="F224" s="21">
        <v>202447</v>
      </c>
      <c r="G224" s="21">
        <v>10</v>
      </c>
      <c r="H224" s="21" t="s">
        <v>19</v>
      </c>
      <c r="I224" s="21" t="s">
        <v>15</v>
      </c>
      <c r="J224" s="21">
        <v>11.681362574421581</v>
      </c>
      <c r="K224" s="21">
        <v>92.115467258097183</v>
      </c>
      <c r="L224" s="21" t="s">
        <v>27</v>
      </c>
      <c r="M224" s="12" t="s">
        <v>28</v>
      </c>
      <c r="N224" s="11"/>
    </row>
    <row r="225" spans="1:14" x14ac:dyDescent="0.3">
      <c r="A225" s="20" t="s">
        <v>296</v>
      </c>
      <c r="B225" s="21">
        <v>117884</v>
      </c>
      <c r="C225" s="21">
        <v>2550</v>
      </c>
      <c r="D225" s="21">
        <v>797</v>
      </c>
      <c r="E225" s="21">
        <v>910595</v>
      </c>
      <c r="F225" s="21">
        <v>574386</v>
      </c>
      <c r="G225" s="21">
        <v>11</v>
      </c>
      <c r="H225" s="21" t="s">
        <v>19</v>
      </c>
      <c r="I225" s="21" t="s">
        <v>115</v>
      </c>
      <c r="J225" s="21">
        <v>25.957721149604691</v>
      </c>
      <c r="K225" s="21">
        <v>158.53363417632039</v>
      </c>
      <c r="L225" s="21" t="s">
        <v>24</v>
      </c>
      <c r="M225" s="12" t="s">
        <v>17</v>
      </c>
      <c r="N225" s="11"/>
    </row>
    <row r="226" spans="1:14" x14ac:dyDescent="0.3">
      <c r="A226" s="20" t="s">
        <v>297</v>
      </c>
      <c r="B226" s="21">
        <v>91884</v>
      </c>
      <c r="C226" s="21">
        <v>407</v>
      </c>
      <c r="D226" s="21">
        <v>510</v>
      </c>
      <c r="E226" s="21">
        <v>593436</v>
      </c>
      <c r="F226" s="21">
        <v>959804</v>
      </c>
      <c r="G226" s="21">
        <v>6</v>
      </c>
      <c r="H226" s="21" t="s">
        <v>32</v>
      </c>
      <c r="I226" s="21" t="s">
        <v>72</v>
      </c>
      <c r="J226" s="21">
        <v>5.3153976753297636</v>
      </c>
      <c r="K226" s="21">
        <v>61.828873394984797</v>
      </c>
      <c r="L226" s="21" t="s">
        <v>27</v>
      </c>
      <c r="M226" s="12" t="s">
        <v>28</v>
      </c>
      <c r="N226" s="11"/>
    </row>
    <row r="227" spans="1:14" x14ac:dyDescent="0.3">
      <c r="A227" s="20" t="s">
        <v>298</v>
      </c>
      <c r="B227" s="21">
        <v>113863</v>
      </c>
      <c r="C227" s="21">
        <v>1902</v>
      </c>
      <c r="D227" s="21">
        <v>617</v>
      </c>
      <c r="E227" s="21">
        <v>680716</v>
      </c>
      <c r="F227" s="21">
        <v>368113</v>
      </c>
      <c r="G227" s="21">
        <v>8</v>
      </c>
      <c r="H227" s="21" t="s">
        <v>32</v>
      </c>
      <c r="I227" s="21" t="s">
        <v>84</v>
      </c>
      <c r="J227" s="21">
        <v>20.045141968857308</v>
      </c>
      <c r="K227" s="21">
        <v>184.92039129289111</v>
      </c>
      <c r="L227" s="21" t="s">
        <v>27</v>
      </c>
      <c r="M227" s="12" t="s">
        <v>28</v>
      </c>
      <c r="N227" s="11"/>
    </row>
    <row r="228" spans="1:14" x14ac:dyDescent="0.3">
      <c r="A228" s="20" t="s">
        <v>299</v>
      </c>
      <c r="B228" s="21">
        <v>113087</v>
      </c>
      <c r="C228" s="21">
        <v>1255</v>
      </c>
      <c r="D228" s="21">
        <v>585</v>
      </c>
      <c r="E228" s="21">
        <v>81683</v>
      </c>
      <c r="F228" s="21">
        <v>935333</v>
      </c>
      <c r="G228" s="21">
        <v>5</v>
      </c>
      <c r="H228" s="21" t="s">
        <v>32</v>
      </c>
      <c r="I228" s="21" t="s">
        <v>115</v>
      </c>
      <c r="J228" s="21">
        <v>13.317180577785249</v>
      </c>
      <c r="K228" s="21">
        <v>8.7330394629506287</v>
      </c>
      <c r="L228" s="21" t="s">
        <v>27</v>
      </c>
      <c r="M228" s="12" t="s">
        <v>28</v>
      </c>
      <c r="N228" s="11"/>
    </row>
    <row r="229" spans="1:14" x14ac:dyDescent="0.3">
      <c r="A229" s="20" t="s">
        <v>300</v>
      </c>
      <c r="B229" s="21">
        <v>94398</v>
      </c>
      <c r="C229" s="21">
        <v>1390</v>
      </c>
      <c r="D229" s="21">
        <v>790</v>
      </c>
      <c r="E229" s="21">
        <v>680614</v>
      </c>
      <c r="F229" s="21">
        <v>577089</v>
      </c>
      <c r="G229" s="21">
        <v>11</v>
      </c>
      <c r="H229" s="21" t="s">
        <v>19</v>
      </c>
      <c r="I229" s="21" t="s">
        <v>89</v>
      </c>
      <c r="J229" s="21">
        <v>17.669865886989129</v>
      </c>
      <c r="K229" s="21">
        <v>117.93917402688319</v>
      </c>
      <c r="L229" s="21" t="s">
        <v>24</v>
      </c>
      <c r="M229" s="12" t="s">
        <v>17</v>
      </c>
      <c r="N229" s="11"/>
    </row>
    <row r="230" spans="1:14" x14ac:dyDescent="0.3">
      <c r="A230" s="20" t="s">
        <v>301</v>
      </c>
      <c r="B230" s="21">
        <v>103421</v>
      </c>
      <c r="C230" s="21">
        <v>905</v>
      </c>
      <c r="D230" s="21">
        <v>521</v>
      </c>
      <c r="E230" s="21">
        <v>214112</v>
      </c>
      <c r="F230" s="21">
        <v>820181</v>
      </c>
      <c r="G230" s="21">
        <v>2</v>
      </c>
      <c r="H230" s="21" t="s">
        <v>32</v>
      </c>
      <c r="I230" s="21" t="s">
        <v>105</v>
      </c>
      <c r="J230" s="21">
        <v>10.500768702681279</v>
      </c>
      <c r="K230" s="21">
        <v>26.105457210054851</v>
      </c>
      <c r="L230" s="21" t="s">
        <v>27</v>
      </c>
      <c r="M230" s="12" t="s">
        <v>28</v>
      </c>
      <c r="N230" s="11"/>
    </row>
    <row r="231" spans="1:14" x14ac:dyDescent="0.3">
      <c r="A231" s="20" t="s">
        <v>302</v>
      </c>
      <c r="B231" s="21">
        <v>106606</v>
      </c>
      <c r="C231" s="21">
        <v>2618</v>
      </c>
      <c r="D231" s="21">
        <v>517</v>
      </c>
      <c r="E231" s="21">
        <v>143547</v>
      </c>
      <c r="F231" s="21">
        <v>632501</v>
      </c>
      <c r="G231" s="21">
        <v>6</v>
      </c>
      <c r="H231" s="21" t="s">
        <v>19</v>
      </c>
      <c r="I231" s="21" t="s">
        <v>35</v>
      </c>
      <c r="J231" s="21">
        <v>29.469260641990129</v>
      </c>
      <c r="K231" s="21">
        <v>22.69514198396524</v>
      </c>
      <c r="L231" s="21" t="s">
        <v>27</v>
      </c>
      <c r="M231" s="12" t="s">
        <v>28</v>
      </c>
      <c r="N231" s="11"/>
    </row>
    <row r="232" spans="1:14" x14ac:dyDescent="0.3">
      <c r="A232" s="20" t="s">
        <v>303</v>
      </c>
      <c r="B232" s="21">
        <v>90294</v>
      </c>
      <c r="C232" s="21">
        <v>659</v>
      </c>
      <c r="D232" s="21">
        <v>767</v>
      </c>
      <c r="E232" s="21">
        <v>952940</v>
      </c>
      <c r="F232" s="21">
        <v>881491</v>
      </c>
      <c r="G232" s="21">
        <v>4</v>
      </c>
      <c r="H232" s="21" t="s">
        <v>32</v>
      </c>
      <c r="I232" s="21" t="s">
        <v>53</v>
      </c>
      <c r="J232" s="21">
        <v>8.7580570137550655</v>
      </c>
      <c r="K232" s="21">
        <v>108.105471298062</v>
      </c>
      <c r="L232" s="21" t="s">
        <v>24</v>
      </c>
      <c r="M232" s="12" t="s">
        <v>17</v>
      </c>
      <c r="N232" s="11"/>
    </row>
    <row r="233" spans="1:14" x14ac:dyDescent="0.3">
      <c r="A233" s="20" t="s">
        <v>304</v>
      </c>
      <c r="B233" s="21">
        <v>92229</v>
      </c>
      <c r="C233" s="21">
        <v>2658</v>
      </c>
      <c r="D233" s="21">
        <v>599</v>
      </c>
      <c r="E233" s="21">
        <v>151581</v>
      </c>
      <c r="F233" s="21">
        <v>525100</v>
      </c>
      <c r="G233" s="21">
        <v>6</v>
      </c>
      <c r="H233" s="21" t="s">
        <v>19</v>
      </c>
      <c r="I233" s="21" t="s">
        <v>30</v>
      </c>
      <c r="J233" s="21">
        <v>34.583482418762003</v>
      </c>
      <c r="K233" s="21">
        <v>28.867072938487912</v>
      </c>
      <c r="L233" s="21" t="s">
        <v>27</v>
      </c>
      <c r="M233" s="12" t="s">
        <v>28</v>
      </c>
      <c r="N233" s="11"/>
    </row>
    <row r="234" spans="1:14" x14ac:dyDescent="0.3">
      <c r="A234" s="20" t="s">
        <v>305</v>
      </c>
      <c r="B234" s="21">
        <v>107105</v>
      </c>
      <c r="C234" s="21">
        <v>1099</v>
      </c>
      <c r="D234" s="21">
        <v>522</v>
      </c>
      <c r="E234" s="21">
        <v>643062</v>
      </c>
      <c r="F234" s="21">
        <v>394930</v>
      </c>
      <c r="G234" s="21">
        <v>7</v>
      </c>
      <c r="H234" s="21" t="s">
        <v>19</v>
      </c>
      <c r="I234" s="21" t="s">
        <v>37</v>
      </c>
      <c r="J234" s="21">
        <v>12.313150646561789</v>
      </c>
      <c r="K234" s="21">
        <v>162.82936216544701</v>
      </c>
      <c r="L234" s="21" t="s">
        <v>27</v>
      </c>
      <c r="M234" s="12" t="s">
        <v>28</v>
      </c>
      <c r="N234" s="11"/>
    </row>
    <row r="235" spans="1:14" x14ac:dyDescent="0.3">
      <c r="A235" s="20" t="s">
        <v>306</v>
      </c>
      <c r="B235" s="21">
        <v>117357</v>
      </c>
      <c r="C235" s="21">
        <v>753</v>
      </c>
      <c r="D235" s="21">
        <v>817</v>
      </c>
      <c r="E235" s="21">
        <v>617862</v>
      </c>
      <c r="F235" s="21">
        <v>447670</v>
      </c>
      <c r="G235" s="21">
        <v>9</v>
      </c>
      <c r="H235" s="21" t="s">
        <v>32</v>
      </c>
      <c r="I235" s="21" t="s">
        <v>23</v>
      </c>
      <c r="J235" s="21">
        <v>7.6995833226820727</v>
      </c>
      <c r="K235" s="21">
        <v>138.0172895212992</v>
      </c>
      <c r="L235" s="21" t="s">
        <v>24</v>
      </c>
      <c r="M235" s="12" t="s">
        <v>17</v>
      </c>
      <c r="N235" s="11"/>
    </row>
    <row r="236" spans="1:14" x14ac:dyDescent="0.3">
      <c r="A236" s="20" t="s">
        <v>307</v>
      </c>
      <c r="B236" s="21">
        <v>117196</v>
      </c>
      <c r="C236" s="21">
        <v>698</v>
      </c>
      <c r="D236" s="21">
        <v>497</v>
      </c>
      <c r="E236" s="21">
        <v>500005</v>
      </c>
      <c r="F236" s="21">
        <v>851569</v>
      </c>
      <c r="G236" s="21">
        <v>9</v>
      </c>
      <c r="H236" s="21" t="s">
        <v>14</v>
      </c>
      <c r="I236" s="21" t="s">
        <v>178</v>
      </c>
      <c r="J236" s="21">
        <v>7.1470016041503106</v>
      </c>
      <c r="K236" s="21">
        <v>58.715735307414903</v>
      </c>
      <c r="L236" s="21" t="s">
        <v>27</v>
      </c>
      <c r="M236" s="12" t="s">
        <v>28</v>
      </c>
      <c r="N236" s="11"/>
    </row>
    <row r="237" spans="1:14" x14ac:dyDescent="0.3">
      <c r="A237" s="20" t="s">
        <v>308</v>
      </c>
      <c r="B237" s="21">
        <v>108569</v>
      </c>
      <c r="C237" s="21">
        <v>2998</v>
      </c>
      <c r="D237" s="21">
        <v>570</v>
      </c>
      <c r="E237" s="21">
        <v>534378</v>
      </c>
      <c r="F237" s="21">
        <v>628137</v>
      </c>
      <c r="G237" s="21">
        <v>11</v>
      </c>
      <c r="H237" s="21" t="s">
        <v>45</v>
      </c>
      <c r="I237" s="21" t="s">
        <v>41</v>
      </c>
      <c r="J237" s="21">
        <v>33.13653068555481</v>
      </c>
      <c r="K237" s="21">
        <v>85.073479193233325</v>
      </c>
      <c r="L237" s="21" t="s">
        <v>27</v>
      </c>
      <c r="M237" s="12" t="s">
        <v>28</v>
      </c>
      <c r="N237" s="11"/>
    </row>
    <row r="238" spans="1:14" x14ac:dyDescent="0.3">
      <c r="A238" s="20" t="s">
        <v>309</v>
      </c>
      <c r="B238" s="21">
        <v>99188</v>
      </c>
      <c r="C238" s="21">
        <v>2668</v>
      </c>
      <c r="D238" s="21">
        <v>687</v>
      </c>
      <c r="E238" s="21">
        <v>495458</v>
      </c>
      <c r="F238" s="21">
        <v>764723</v>
      </c>
      <c r="G238" s="21">
        <v>5</v>
      </c>
      <c r="H238" s="21" t="s">
        <v>32</v>
      </c>
      <c r="I238" s="21" t="s">
        <v>43</v>
      </c>
      <c r="J238" s="21">
        <v>32.278098157035132</v>
      </c>
      <c r="K238" s="21">
        <v>64.789211256886475</v>
      </c>
      <c r="L238" s="21" t="s">
        <v>16</v>
      </c>
      <c r="M238" s="12" t="s">
        <v>17</v>
      </c>
      <c r="N238" s="11"/>
    </row>
    <row r="239" spans="1:14" x14ac:dyDescent="0.3">
      <c r="A239" s="20" t="s">
        <v>310</v>
      </c>
      <c r="B239" s="21">
        <v>85179</v>
      </c>
      <c r="C239" s="21">
        <v>2364</v>
      </c>
      <c r="D239" s="21">
        <v>815</v>
      </c>
      <c r="E239" s="21">
        <v>613923</v>
      </c>
      <c r="F239" s="21">
        <v>637262</v>
      </c>
      <c r="G239" s="21">
        <v>5</v>
      </c>
      <c r="H239" s="21" t="s">
        <v>32</v>
      </c>
      <c r="I239" s="21" t="s">
        <v>59</v>
      </c>
      <c r="J239" s="21">
        <v>33.30398337618427</v>
      </c>
      <c r="K239" s="21">
        <v>96.337613101047921</v>
      </c>
      <c r="L239" s="21" t="s">
        <v>24</v>
      </c>
      <c r="M239" s="12" t="s">
        <v>17</v>
      </c>
      <c r="N239" s="11"/>
    </row>
    <row r="240" spans="1:14" x14ac:dyDescent="0.3">
      <c r="A240" s="20" t="s">
        <v>311</v>
      </c>
      <c r="B240" s="21">
        <v>90852</v>
      </c>
      <c r="C240" s="21">
        <v>2592</v>
      </c>
      <c r="D240" s="21">
        <v>640</v>
      </c>
      <c r="E240" s="21">
        <v>653844</v>
      </c>
      <c r="F240" s="21">
        <v>480577</v>
      </c>
      <c r="G240" s="21">
        <v>4</v>
      </c>
      <c r="H240" s="21" t="s">
        <v>19</v>
      </c>
      <c r="I240" s="21" t="s">
        <v>125</v>
      </c>
      <c r="J240" s="21">
        <v>34.235900145291239</v>
      </c>
      <c r="K240" s="21">
        <v>136.05395181209249</v>
      </c>
      <c r="L240" s="21" t="s">
        <v>27</v>
      </c>
      <c r="M240" s="12" t="s">
        <v>28</v>
      </c>
      <c r="N240" s="11"/>
    </row>
    <row r="241" spans="1:14" x14ac:dyDescent="0.3">
      <c r="A241" s="20" t="s">
        <v>312</v>
      </c>
      <c r="B241" s="21">
        <v>115626</v>
      </c>
      <c r="C241" s="21">
        <v>544</v>
      </c>
      <c r="D241" s="21">
        <v>619</v>
      </c>
      <c r="E241" s="21">
        <v>238211</v>
      </c>
      <c r="F241" s="21">
        <v>800809</v>
      </c>
      <c r="G241" s="21">
        <v>2</v>
      </c>
      <c r="H241" s="21" t="s">
        <v>32</v>
      </c>
      <c r="I241" s="21" t="s">
        <v>55</v>
      </c>
      <c r="J241" s="21">
        <v>5.6457890093923524</v>
      </c>
      <c r="K241" s="21">
        <v>29.746294060131689</v>
      </c>
      <c r="L241" s="21" t="s">
        <v>27</v>
      </c>
      <c r="M241" s="12" t="s">
        <v>28</v>
      </c>
      <c r="N241" s="11"/>
    </row>
    <row r="242" spans="1:14" x14ac:dyDescent="0.3">
      <c r="A242" s="20" t="s">
        <v>313</v>
      </c>
      <c r="B242" s="21">
        <v>88144</v>
      </c>
      <c r="C242" s="21">
        <v>2037</v>
      </c>
      <c r="D242" s="21">
        <v>682</v>
      </c>
      <c r="E242" s="21">
        <v>997204</v>
      </c>
      <c r="F242" s="21">
        <v>564947</v>
      </c>
      <c r="G242" s="21">
        <v>8</v>
      </c>
      <c r="H242" s="21" t="s">
        <v>19</v>
      </c>
      <c r="I242" s="21" t="s">
        <v>23</v>
      </c>
      <c r="J242" s="21">
        <v>27.731893265565439</v>
      </c>
      <c r="K242" s="21">
        <v>176.5128410275654</v>
      </c>
      <c r="L242" s="21" t="s">
        <v>16</v>
      </c>
      <c r="M242" s="12" t="s">
        <v>17</v>
      </c>
      <c r="N242" s="11"/>
    </row>
    <row r="243" spans="1:14" x14ac:dyDescent="0.3">
      <c r="A243" s="20" t="s">
        <v>314</v>
      </c>
      <c r="B243" s="21">
        <v>100979</v>
      </c>
      <c r="C243" s="21">
        <v>1211</v>
      </c>
      <c r="D243" s="21">
        <v>830</v>
      </c>
      <c r="E243" s="21">
        <v>813584</v>
      </c>
      <c r="F243" s="21">
        <v>718247</v>
      </c>
      <c r="G243" s="21">
        <v>1</v>
      </c>
      <c r="H243" s="21" t="s">
        <v>14</v>
      </c>
      <c r="I243" s="21" t="s">
        <v>84</v>
      </c>
      <c r="J243" s="21">
        <v>14.39111102308401</v>
      </c>
      <c r="K243" s="21">
        <v>113.2735674496378</v>
      </c>
      <c r="L243" s="21" t="s">
        <v>24</v>
      </c>
      <c r="M243" s="12" t="s">
        <v>17</v>
      </c>
      <c r="N243" s="11"/>
    </row>
    <row r="244" spans="1:14" x14ac:dyDescent="0.3">
      <c r="A244" s="20" t="s">
        <v>315</v>
      </c>
      <c r="B244" s="21">
        <v>104418</v>
      </c>
      <c r="C244" s="21">
        <v>745</v>
      </c>
      <c r="D244" s="21">
        <v>656</v>
      </c>
      <c r="E244" s="21">
        <v>647328</v>
      </c>
      <c r="F244" s="21">
        <v>832942</v>
      </c>
      <c r="G244" s="21">
        <v>12</v>
      </c>
      <c r="H244" s="21" t="s">
        <v>19</v>
      </c>
      <c r="I244" s="21" t="s">
        <v>43</v>
      </c>
      <c r="J244" s="21">
        <v>8.5617422283514344</v>
      </c>
      <c r="K244" s="21">
        <v>77.715855365679715</v>
      </c>
      <c r="L244" s="21" t="s">
        <v>16</v>
      </c>
      <c r="M244" s="12" t="s">
        <v>17</v>
      </c>
      <c r="N244" s="11"/>
    </row>
    <row r="245" spans="1:14" x14ac:dyDescent="0.3">
      <c r="A245" s="20" t="s">
        <v>316</v>
      </c>
      <c r="B245" s="21">
        <v>95300</v>
      </c>
      <c r="C245" s="21">
        <v>1416</v>
      </c>
      <c r="D245" s="21">
        <v>719</v>
      </c>
      <c r="E245" s="21">
        <v>692583</v>
      </c>
      <c r="F245" s="21">
        <v>942366</v>
      </c>
      <c r="G245" s="21">
        <v>5</v>
      </c>
      <c r="H245" s="21" t="s">
        <v>45</v>
      </c>
      <c r="I245" s="21" t="s">
        <v>77</v>
      </c>
      <c r="J245" s="21">
        <v>17.830010493179429</v>
      </c>
      <c r="K245" s="21">
        <v>73.494056449405008</v>
      </c>
      <c r="L245" s="21" t="s">
        <v>16</v>
      </c>
      <c r="M245" s="12" t="s">
        <v>21</v>
      </c>
      <c r="N245" s="11"/>
    </row>
    <row r="246" spans="1:14" x14ac:dyDescent="0.3">
      <c r="A246" s="20" t="s">
        <v>317</v>
      </c>
      <c r="B246" s="21">
        <v>115574</v>
      </c>
      <c r="C246" s="21">
        <v>1397</v>
      </c>
      <c r="D246" s="21">
        <v>769</v>
      </c>
      <c r="E246" s="21">
        <v>355282</v>
      </c>
      <c r="F246" s="21">
        <v>908152</v>
      </c>
      <c r="G246" s="21">
        <v>8</v>
      </c>
      <c r="H246" s="21" t="s">
        <v>19</v>
      </c>
      <c r="I246" s="21" t="s">
        <v>115</v>
      </c>
      <c r="J246" s="21">
        <v>14.50499247235537</v>
      </c>
      <c r="K246" s="21">
        <v>39.121424607334447</v>
      </c>
      <c r="L246" s="21" t="s">
        <v>24</v>
      </c>
      <c r="M246" s="12" t="s">
        <v>21</v>
      </c>
      <c r="N246" s="11"/>
    </row>
    <row r="247" spans="1:14" x14ac:dyDescent="0.3">
      <c r="A247" s="20" t="s">
        <v>318</v>
      </c>
      <c r="B247" s="21">
        <v>109639</v>
      </c>
      <c r="C247" s="21">
        <v>592</v>
      </c>
      <c r="D247" s="21">
        <v>604</v>
      </c>
      <c r="E247" s="21">
        <v>51491</v>
      </c>
      <c r="F247" s="21">
        <v>921767</v>
      </c>
      <c r="G247" s="21">
        <v>11</v>
      </c>
      <c r="H247" s="21" t="s">
        <v>45</v>
      </c>
      <c r="I247" s="21" t="s">
        <v>77</v>
      </c>
      <c r="J247" s="21">
        <v>6.4794461824715652</v>
      </c>
      <c r="K247" s="21">
        <v>5.5861188348031554</v>
      </c>
      <c r="L247" s="21" t="s">
        <v>27</v>
      </c>
      <c r="M247" s="12" t="s">
        <v>28</v>
      </c>
      <c r="N247" s="11"/>
    </row>
    <row r="248" spans="1:14" x14ac:dyDescent="0.3">
      <c r="A248" s="20" t="s">
        <v>319</v>
      </c>
      <c r="B248" s="21">
        <v>89400</v>
      </c>
      <c r="C248" s="21">
        <v>1879</v>
      </c>
      <c r="D248" s="21">
        <v>556</v>
      </c>
      <c r="E248" s="21">
        <v>800389</v>
      </c>
      <c r="F248" s="21">
        <v>293815</v>
      </c>
      <c r="G248" s="21">
        <v>2</v>
      </c>
      <c r="H248" s="21" t="s">
        <v>32</v>
      </c>
      <c r="I248" s="21" t="s">
        <v>125</v>
      </c>
      <c r="J248" s="21">
        <v>25.221476510067109</v>
      </c>
      <c r="K248" s="21">
        <v>272.4125725371407</v>
      </c>
      <c r="L248" s="21" t="s">
        <v>27</v>
      </c>
      <c r="M248" s="12" t="s">
        <v>28</v>
      </c>
      <c r="N248" s="11"/>
    </row>
    <row r="249" spans="1:14" x14ac:dyDescent="0.3">
      <c r="A249" s="20" t="s">
        <v>320</v>
      </c>
      <c r="B249" s="21">
        <v>111591</v>
      </c>
      <c r="C249" s="21">
        <v>1718</v>
      </c>
      <c r="D249" s="21">
        <v>785</v>
      </c>
      <c r="E249" s="21">
        <v>676017</v>
      </c>
      <c r="F249" s="21">
        <v>483237</v>
      </c>
      <c r="G249" s="21">
        <v>9</v>
      </c>
      <c r="H249" s="21" t="s">
        <v>45</v>
      </c>
      <c r="I249" s="21" t="s">
        <v>152</v>
      </c>
      <c r="J249" s="21">
        <v>18.474608167325322</v>
      </c>
      <c r="K249" s="21">
        <v>139.89346842232689</v>
      </c>
      <c r="L249" s="21" t="s">
        <v>24</v>
      </c>
      <c r="M249" s="12" t="s">
        <v>17</v>
      </c>
      <c r="N249" s="11"/>
    </row>
    <row r="250" spans="1:14" x14ac:dyDescent="0.3">
      <c r="A250" s="20" t="s">
        <v>321</v>
      </c>
      <c r="B250" s="21">
        <v>107461</v>
      </c>
      <c r="C250" s="21">
        <v>469</v>
      </c>
      <c r="D250" s="21">
        <v>639</v>
      </c>
      <c r="E250" s="21">
        <v>112536</v>
      </c>
      <c r="F250" s="21">
        <v>436144</v>
      </c>
      <c r="G250" s="21">
        <v>4</v>
      </c>
      <c r="H250" s="21" t="s">
        <v>45</v>
      </c>
      <c r="I250" s="21" t="s">
        <v>51</v>
      </c>
      <c r="J250" s="21">
        <v>5.2372488623779789</v>
      </c>
      <c r="K250" s="21">
        <v>25.802487251916801</v>
      </c>
      <c r="L250" s="21" t="s">
        <v>27</v>
      </c>
      <c r="M250" s="12" t="s">
        <v>28</v>
      </c>
      <c r="N250" s="11"/>
    </row>
    <row r="251" spans="1:14" x14ac:dyDescent="0.3">
      <c r="A251" s="20" t="s">
        <v>322</v>
      </c>
      <c r="B251" s="21">
        <v>83705</v>
      </c>
      <c r="C251" s="21">
        <v>568</v>
      </c>
      <c r="D251" s="21">
        <v>486</v>
      </c>
      <c r="E251" s="21">
        <v>769305</v>
      </c>
      <c r="F251" s="21">
        <v>638263</v>
      </c>
      <c r="G251" s="21">
        <v>12</v>
      </c>
      <c r="H251" s="21" t="s">
        <v>32</v>
      </c>
      <c r="I251" s="21" t="s">
        <v>86</v>
      </c>
      <c r="J251" s="21">
        <v>8.1428827429663695</v>
      </c>
      <c r="K251" s="21">
        <v>120.5310350122128</v>
      </c>
      <c r="L251" s="21" t="s">
        <v>27</v>
      </c>
      <c r="M251" s="12" t="s">
        <v>28</v>
      </c>
      <c r="N251" s="11"/>
    </row>
    <row r="252" spans="1:14" x14ac:dyDescent="0.3">
      <c r="A252" s="20" t="s">
        <v>323</v>
      </c>
      <c r="B252" s="21">
        <v>108943</v>
      </c>
      <c r="C252" s="21">
        <v>1684</v>
      </c>
      <c r="D252" s="21">
        <v>534</v>
      </c>
      <c r="E252" s="21">
        <v>951373</v>
      </c>
      <c r="F252" s="21">
        <v>805422</v>
      </c>
      <c r="G252" s="21">
        <v>6</v>
      </c>
      <c r="H252" s="21" t="s">
        <v>14</v>
      </c>
      <c r="I252" s="21" t="s">
        <v>53</v>
      </c>
      <c r="J252" s="21">
        <v>18.54914955527202</v>
      </c>
      <c r="K252" s="21">
        <v>118.1210595191092</v>
      </c>
      <c r="L252" s="21" t="s">
        <v>27</v>
      </c>
      <c r="M252" s="12" t="s">
        <v>28</v>
      </c>
      <c r="N252" s="11"/>
    </row>
    <row r="253" spans="1:14" x14ac:dyDescent="0.3">
      <c r="A253" s="20" t="s">
        <v>324</v>
      </c>
      <c r="B253" s="21">
        <v>110326</v>
      </c>
      <c r="C253" s="21">
        <v>2808</v>
      </c>
      <c r="D253" s="21">
        <v>571</v>
      </c>
      <c r="E253" s="21">
        <v>257036</v>
      </c>
      <c r="F253" s="21">
        <v>610789</v>
      </c>
      <c r="G253" s="21">
        <v>7</v>
      </c>
      <c r="H253" s="21" t="s">
        <v>32</v>
      </c>
      <c r="I253" s="21" t="s">
        <v>46</v>
      </c>
      <c r="J253" s="21">
        <v>30.54221126479705</v>
      </c>
      <c r="K253" s="21">
        <v>42.082617728872002</v>
      </c>
      <c r="L253" s="21" t="s">
        <v>27</v>
      </c>
      <c r="M253" s="12" t="s">
        <v>28</v>
      </c>
      <c r="N253" s="11"/>
    </row>
    <row r="254" spans="1:14" x14ac:dyDescent="0.3">
      <c r="A254" s="20" t="s">
        <v>325</v>
      </c>
      <c r="B254" s="21">
        <v>111619</v>
      </c>
      <c r="C254" s="21">
        <v>1465</v>
      </c>
      <c r="D254" s="21">
        <v>529</v>
      </c>
      <c r="E254" s="21">
        <v>592179</v>
      </c>
      <c r="F254" s="21">
        <v>336629</v>
      </c>
      <c r="G254" s="21">
        <v>10</v>
      </c>
      <c r="H254" s="21" t="s">
        <v>14</v>
      </c>
      <c r="I254" s="21" t="s">
        <v>178</v>
      </c>
      <c r="J254" s="21">
        <v>15.750006719286141</v>
      </c>
      <c r="K254" s="21">
        <v>175.9144339911297</v>
      </c>
      <c r="L254" s="21" t="s">
        <v>27</v>
      </c>
      <c r="M254" s="12" t="s">
        <v>28</v>
      </c>
      <c r="N254" s="11"/>
    </row>
    <row r="255" spans="1:14" x14ac:dyDescent="0.3">
      <c r="A255" s="20" t="s">
        <v>326</v>
      </c>
      <c r="B255" s="21">
        <v>105208</v>
      </c>
      <c r="C255" s="21">
        <v>1939</v>
      </c>
      <c r="D255" s="21">
        <v>731</v>
      </c>
      <c r="E255" s="21">
        <v>887759</v>
      </c>
      <c r="F255" s="21">
        <v>768747</v>
      </c>
      <c r="G255" s="21">
        <v>1</v>
      </c>
      <c r="H255" s="21" t="s">
        <v>32</v>
      </c>
      <c r="I255" s="21" t="s">
        <v>39</v>
      </c>
      <c r="J255" s="21">
        <v>22.116188882974679</v>
      </c>
      <c r="K255" s="21">
        <v>115.48129618717211</v>
      </c>
      <c r="L255" s="21" t="s">
        <v>16</v>
      </c>
      <c r="M255" s="12" t="s">
        <v>17</v>
      </c>
      <c r="N255" s="11"/>
    </row>
    <row r="256" spans="1:14" x14ac:dyDescent="0.3">
      <c r="A256" s="20" t="s">
        <v>327</v>
      </c>
      <c r="B256" s="21">
        <v>106809</v>
      </c>
      <c r="C256" s="21">
        <v>2745</v>
      </c>
      <c r="D256" s="21">
        <v>613</v>
      </c>
      <c r="E256" s="21">
        <v>940768</v>
      </c>
      <c r="F256" s="21">
        <v>936787</v>
      </c>
      <c r="G256" s="21">
        <v>3</v>
      </c>
      <c r="H256" s="21" t="s">
        <v>45</v>
      </c>
      <c r="I256" s="21" t="s">
        <v>108</v>
      </c>
      <c r="J256" s="21">
        <v>30.840097744572091</v>
      </c>
      <c r="K256" s="21">
        <v>100.424963198678</v>
      </c>
      <c r="L256" s="21" t="s">
        <v>27</v>
      </c>
      <c r="M256" s="12" t="s">
        <v>28</v>
      </c>
      <c r="N256" s="11"/>
    </row>
    <row r="257" spans="1:14" x14ac:dyDescent="0.3">
      <c r="A257" s="20" t="s">
        <v>328</v>
      </c>
      <c r="B257" s="21">
        <v>79314</v>
      </c>
      <c r="C257" s="21">
        <v>2777</v>
      </c>
      <c r="D257" s="21">
        <v>591</v>
      </c>
      <c r="E257" s="21">
        <v>250719</v>
      </c>
      <c r="F257" s="21">
        <v>308264</v>
      </c>
      <c r="G257" s="21">
        <v>8</v>
      </c>
      <c r="H257" s="21" t="s">
        <v>14</v>
      </c>
      <c r="I257" s="21" t="s">
        <v>55</v>
      </c>
      <c r="J257" s="21">
        <v>42.01528103487405</v>
      </c>
      <c r="K257" s="21">
        <v>81.332559105182568</v>
      </c>
      <c r="L257" s="21" t="s">
        <v>27</v>
      </c>
      <c r="M257" s="12" t="s">
        <v>28</v>
      </c>
      <c r="N257" s="11"/>
    </row>
    <row r="258" spans="1:14" x14ac:dyDescent="0.3">
      <c r="A258" s="20" t="s">
        <v>329</v>
      </c>
      <c r="B258" s="21">
        <v>80597</v>
      </c>
      <c r="C258" s="21">
        <v>732</v>
      </c>
      <c r="D258" s="21">
        <v>567</v>
      </c>
      <c r="E258" s="21">
        <v>75148</v>
      </c>
      <c r="F258" s="21">
        <v>868094</v>
      </c>
      <c r="G258" s="21">
        <v>6</v>
      </c>
      <c r="H258" s="21" t="s">
        <v>19</v>
      </c>
      <c r="I258" s="21" t="s">
        <v>222</v>
      </c>
      <c r="J258" s="21">
        <v>10.89866868493865</v>
      </c>
      <c r="K258" s="21">
        <v>8.6566662135667336</v>
      </c>
      <c r="L258" s="21" t="s">
        <v>27</v>
      </c>
      <c r="M258" s="12" t="s">
        <v>28</v>
      </c>
      <c r="N258" s="11"/>
    </row>
    <row r="259" spans="1:14" x14ac:dyDescent="0.3">
      <c r="A259" s="20" t="s">
        <v>330</v>
      </c>
      <c r="B259" s="21">
        <v>111707</v>
      </c>
      <c r="C259" s="21">
        <v>1684</v>
      </c>
      <c r="D259" s="21">
        <v>809</v>
      </c>
      <c r="E259" s="21">
        <v>705751</v>
      </c>
      <c r="F259" s="21">
        <v>348921</v>
      </c>
      <c r="G259" s="21">
        <v>5</v>
      </c>
      <c r="H259" s="21" t="s">
        <v>32</v>
      </c>
      <c r="I259" s="21" t="s">
        <v>122</v>
      </c>
      <c r="J259" s="21">
        <v>18.090182352045979</v>
      </c>
      <c r="K259" s="21">
        <v>202.2667022047971</v>
      </c>
      <c r="L259" s="21" t="s">
        <v>24</v>
      </c>
      <c r="M259" s="12" t="s">
        <v>17</v>
      </c>
      <c r="N259" s="11"/>
    </row>
    <row r="260" spans="1:14" x14ac:dyDescent="0.3">
      <c r="A260" s="20" t="s">
        <v>331</v>
      </c>
      <c r="B260" s="21">
        <v>114577</v>
      </c>
      <c r="C260" s="21">
        <v>1722</v>
      </c>
      <c r="D260" s="21">
        <v>724</v>
      </c>
      <c r="E260" s="21">
        <v>789035</v>
      </c>
      <c r="F260" s="21">
        <v>930746</v>
      </c>
      <c r="G260" s="21">
        <v>6</v>
      </c>
      <c r="H260" s="21" t="s">
        <v>14</v>
      </c>
      <c r="I260" s="21" t="s">
        <v>15</v>
      </c>
      <c r="J260" s="21">
        <v>18.035033209108281</v>
      </c>
      <c r="K260" s="21">
        <v>84.774471230604263</v>
      </c>
      <c r="L260" s="21" t="s">
        <v>16</v>
      </c>
      <c r="M260" s="12" t="s">
        <v>17</v>
      </c>
      <c r="N260" s="11"/>
    </row>
    <row r="261" spans="1:14" x14ac:dyDescent="0.3">
      <c r="A261" s="20" t="s">
        <v>332</v>
      </c>
      <c r="B261" s="21">
        <v>101963</v>
      </c>
      <c r="C261" s="21">
        <v>323</v>
      </c>
      <c r="D261" s="21">
        <v>528</v>
      </c>
      <c r="E261" s="21">
        <v>65498</v>
      </c>
      <c r="F261" s="21">
        <v>770297</v>
      </c>
      <c r="G261" s="21">
        <v>9</v>
      </c>
      <c r="H261" s="21" t="s">
        <v>32</v>
      </c>
      <c r="I261" s="21" t="s">
        <v>43</v>
      </c>
      <c r="J261" s="21">
        <v>3.8013789315732178</v>
      </c>
      <c r="K261" s="21">
        <v>8.5029540553838316</v>
      </c>
      <c r="L261" s="21" t="s">
        <v>27</v>
      </c>
      <c r="M261" s="12" t="s">
        <v>28</v>
      </c>
      <c r="N261" s="11"/>
    </row>
    <row r="262" spans="1:14" x14ac:dyDescent="0.3">
      <c r="A262" s="20" t="s">
        <v>333</v>
      </c>
      <c r="B262" s="21">
        <v>78601</v>
      </c>
      <c r="C262" s="21">
        <v>513</v>
      </c>
      <c r="D262" s="21">
        <v>476</v>
      </c>
      <c r="E262" s="21">
        <v>544559</v>
      </c>
      <c r="F262" s="21">
        <v>588151</v>
      </c>
      <c r="G262" s="21">
        <v>8</v>
      </c>
      <c r="H262" s="21" t="s">
        <v>14</v>
      </c>
      <c r="I262" s="21" t="s">
        <v>89</v>
      </c>
      <c r="J262" s="21">
        <v>7.8319614254271572</v>
      </c>
      <c r="K262" s="21">
        <v>92.588297903089511</v>
      </c>
      <c r="L262" s="21" t="s">
        <v>27</v>
      </c>
      <c r="M262" s="12" t="s">
        <v>28</v>
      </c>
      <c r="N262" s="11"/>
    </row>
    <row r="263" spans="1:14" x14ac:dyDescent="0.3">
      <c r="A263" s="20" t="s">
        <v>334</v>
      </c>
      <c r="B263" s="21">
        <v>81667</v>
      </c>
      <c r="C263" s="21">
        <v>2247</v>
      </c>
      <c r="D263" s="21">
        <v>713</v>
      </c>
      <c r="E263" s="21">
        <v>302075</v>
      </c>
      <c r="F263" s="21">
        <v>563528</v>
      </c>
      <c r="G263" s="21">
        <v>7</v>
      </c>
      <c r="H263" s="21" t="s">
        <v>32</v>
      </c>
      <c r="I263" s="21" t="s">
        <v>75</v>
      </c>
      <c r="J263" s="21">
        <v>33.017008093844517</v>
      </c>
      <c r="K263" s="21">
        <v>53.604257463693017</v>
      </c>
      <c r="L263" s="21" t="s">
        <v>16</v>
      </c>
      <c r="M263" s="12" t="s">
        <v>21</v>
      </c>
      <c r="N263" s="11"/>
    </row>
    <row r="264" spans="1:14" x14ac:dyDescent="0.3">
      <c r="A264" s="20" t="s">
        <v>335</v>
      </c>
      <c r="B264" s="21">
        <v>73851</v>
      </c>
      <c r="C264" s="21">
        <v>685</v>
      </c>
      <c r="D264" s="21">
        <v>792</v>
      </c>
      <c r="E264" s="21">
        <v>728150</v>
      </c>
      <c r="F264" s="21">
        <v>825872</v>
      </c>
      <c r="G264" s="21">
        <v>3</v>
      </c>
      <c r="H264" s="21" t="s">
        <v>14</v>
      </c>
      <c r="I264" s="21" t="s">
        <v>55</v>
      </c>
      <c r="J264" s="21">
        <v>11.1305195596539</v>
      </c>
      <c r="K264" s="21">
        <v>88.167415773872946</v>
      </c>
      <c r="L264" s="21" t="s">
        <v>24</v>
      </c>
      <c r="M264" s="12" t="s">
        <v>17</v>
      </c>
      <c r="N264" s="11"/>
    </row>
    <row r="265" spans="1:14" x14ac:dyDescent="0.3">
      <c r="A265" s="20" t="s">
        <v>336</v>
      </c>
      <c r="B265" s="21">
        <v>101002</v>
      </c>
      <c r="C265" s="21">
        <v>2780</v>
      </c>
      <c r="D265" s="21">
        <v>791</v>
      </c>
      <c r="E265" s="21">
        <v>856849</v>
      </c>
      <c r="F265" s="21">
        <v>277720</v>
      </c>
      <c r="G265" s="21">
        <v>11</v>
      </c>
      <c r="H265" s="21" t="s">
        <v>32</v>
      </c>
      <c r="I265" s="21" t="s">
        <v>72</v>
      </c>
      <c r="J265" s="21">
        <v>33.029048929724162</v>
      </c>
      <c r="K265" s="21">
        <v>308.52981420135387</v>
      </c>
      <c r="L265" s="21" t="s">
        <v>24</v>
      </c>
      <c r="M265" s="12" t="s">
        <v>17</v>
      </c>
      <c r="N265" s="11"/>
    </row>
    <row r="266" spans="1:14" x14ac:dyDescent="0.3">
      <c r="A266" s="20" t="s">
        <v>337</v>
      </c>
      <c r="B266" s="21">
        <v>74463</v>
      </c>
      <c r="C266" s="21">
        <v>1079</v>
      </c>
      <c r="D266" s="21">
        <v>545</v>
      </c>
      <c r="E266" s="21">
        <v>487349</v>
      </c>
      <c r="F266" s="21">
        <v>794619</v>
      </c>
      <c r="G266" s="21">
        <v>10</v>
      </c>
      <c r="H266" s="21" t="s">
        <v>19</v>
      </c>
      <c r="I266" s="21" t="s">
        <v>84</v>
      </c>
      <c r="J266" s="21">
        <v>17.388501671971319</v>
      </c>
      <c r="K266" s="21">
        <v>61.331153672388908</v>
      </c>
      <c r="L266" s="21" t="s">
        <v>27</v>
      </c>
      <c r="M266" s="12" t="s">
        <v>28</v>
      </c>
      <c r="N266" s="11"/>
    </row>
    <row r="267" spans="1:14" x14ac:dyDescent="0.3">
      <c r="A267" s="20" t="s">
        <v>338</v>
      </c>
      <c r="B267" s="21">
        <v>86610</v>
      </c>
      <c r="C267" s="21">
        <v>2215</v>
      </c>
      <c r="D267" s="21">
        <v>755</v>
      </c>
      <c r="E267" s="21">
        <v>925098</v>
      </c>
      <c r="F267" s="21">
        <v>979056</v>
      </c>
      <c r="G267" s="21">
        <v>8</v>
      </c>
      <c r="H267" s="21" t="s">
        <v>45</v>
      </c>
      <c r="I267" s="21" t="s">
        <v>72</v>
      </c>
      <c r="J267" s="21">
        <v>30.68929684793903</v>
      </c>
      <c r="K267" s="21">
        <v>94.488772858753734</v>
      </c>
      <c r="L267" s="21" t="s">
        <v>24</v>
      </c>
      <c r="M267" s="12" t="s">
        <v>17</v>
      </c>
      <c r="N267" s="11"/>
    </row>
    <row r="268" spans="1:14" x14ac:dyDescent="0.3">
      <c r="A268" s="20" t="s">
        <v>339</v>
      </c>
      <c r="B268" s="21">
        <v>90445</v>
      </c>
      <c r="C268" s="21">
        <v>2459</v>
      </c>
      <c r="D268" s="21">
        <v>667</v>
      </c>
      <c r="E268" s="21">
        <v>257124</v>
      </c>
      <c r="F268" s="21">
        <v>830018</v>
      </c>
      <c r="G268" s="21">
        <v>11</v>
      </c>
      <c r="H268" s="21" t="s">
        <v>32</v>
      </c>
      <c r="I268" s="21" t="s">
        <v>53</v>
      </c>
      <c r="J268" s="21">
        <v>32.625352424125161</v>
      </c>
      <c r="K268" s="21">
        <v>30.978123365999291</v>
      </c>
      <c r="L268" s="21" t="s">
        <v>16</v>
      </c>
      <c r="M268" s="12" t="s">
        <v>17</v>
      </c>
      <c r="N268" s="11"/>
    </row>
    <row r="269" spans="1:14" x14ac:dyDescent="0.3">
      <c r="A269" s="20" t="s">
        <v>340</v>
      </c>
      <c r="B269" s="21">
        <v>82748</v>
      </c>
      <c r="C269" s="21">
        <v>2474</v>
      </c>
      <c r="D269" s="21">
        <v>812</v>
      </c>
      <c r="E269" s="21">
        <v>333058</v>
      </c>
      <c r="F269" s="21">
        <v>483739</v>
      </c>
      <c r="G269" s="21">
        <v>3</v>
      </c>
      <c r="H269" s="21" t="s">
        <v>32</v>
      </c>
      <c r="I269" s="21" t="s">
        <v>55</v>
      </c>
      <c r="J269" s="21">
        <v>35.877604292550878</v>
      </c>
      <c r="K269" s="21">
        <v>68.850764565189081</v>
      </c>
      <c r="L269" s="21" t="s">
        <v>24</v>
      </c>
      <c r="M269" s="12" t="s">
        <v>21</v>
      </c>
      <c r="N269" s="11"/>
    </row>
    <row r="270" spans="1:14" x14ac:dyDescent="0.3">
      <c r="A270" s="20" t="s">
        <v>341</v>
      </c>
      <c r="B270" s="21">
        <v>103781</v>
      </c>
      <c r="C270" s="21">
        <v>2146</v>
      </c>
      <c r="D270" s="21">
        <v>737</v>
      </c>
      <c r="E270" s="21">
        <v>413455</v>
      </c>
      <c r="F270" s="21">
        <v>708359</v>
      </c>
      <c r="G270" s="21">
        <v>4</v>
      </c>
      <c r="H270" s="21" t="s">
        <v>14</v>
      </c>
      <c r="I270" s="21" t="s">
        <v>108</v>
      </c>
      <c r="J270" s="21">
        <v>24.813790578236869</v>
      </c>
      <c r="K270" s="21">
        <v>58.368002665315188</v>
      </c>
      <c r="L270" s="21" t="s">
        <v>16</v>
      </c>
      <c r="M270" s="12" t="s">
        <v>21</v>
      </c>
      <c r="N270" s="11"/>
    </row>
    <row r="271" spans="1:14" x14ac:dyDescent="0.3">
      <c r="A271" s="20" t="s">
        <v>342</v>
      </c>
      <c r="B271" s="21">
        <v>92819</v>
      </c>
      <c r="C271" s="21">
        <v>2062</v>
      </c>
      <c r="D271" s="21">
        <v>514</v>
      </c>
      <c r="E271" s="21">
        <v>904333</v>
      </c>
      <c r="F271" s="21">
        <v>916466</v>
      </c>
      <c r="G271" s="21">
        <v>9</v>
      </c>
      <c r="H271" s="21" t="s">
        <v>45</v>
      </c>
      <c r="I271" s="21" t="s">
        <v>96</v>
      </c>
      <c r="J271" s="21">
        <v>26.658335039162239</v>
      </c>
      <c r="K271" s="21">
        <v>98.676110188484898</v>
      </c>
      <c r="L271" s="21" t="s">
        <v>27</v>
      </c>
      <c r="M271" s="12" t="s">
        <v>28</v>
      </c>
      <c r="N271" s="11"/>
    </row>
    <row r="272" spans="1:14" x14ac:dyDescent="0.3">
      <c r="A272" s="20" t="s">
        <v>343</v>
      </c>
      <c r="B272" s="21">
        <v>79519</v>
      </c>
      <c r="C272" s="21">
        <v>1890</v>
      </c>
      <c r="D272" s="21">
        <v>477</v>
      </c>
      <c r="E272" s="21">
        <v>387242</v>
      </c>
      <c r="F272" s="21">
        <v>926590</v>
      </c>
      <c r="G272" s="21">
        <v>4</v>
      </c>
      <c r="H272" s="21" t="s">
        <v>19</v>
      </c>
      <c r="I272" s="21" t="s">
        <v>82</v>
      </c>
      <c r="J272" s="21">
        <v>28.521485431154819</v>
      </c>
      <c r="K272" s="21">
        <v>41.792162660939567</v>
      </c>
      <c r="L272" s="21" t="s">
        <v>27</v>
      </c>
      <c r="M272" s="12" t="s">
        <v>28</v>
      </c>
      <c r="N272" s="11"/>
    </row>
    <row r="273" spans="1:14" x14ac:dyDescent="0.3">
      <c r="A273" s="20" t="s">
        <v>344</v>
      </c>
      <c r="B273" s="21">
        <v>74716</v>
      </c>
      <c r="C273" s="21">
        <v>1087</v>
      </c>
      <c r="D273" s="21">
        <v>541</v>
      </c>
      <c r="E273" s="21">
        <v>440573</v>
      </c>
      <c r="F273" s="21">
        <v>411636</v>
      </c>
      <c r="G273" s="21">
        <v>7</v>
      </c>
      <c r="H273" s="21" t="s">
        <v>19</v>
      </c>
      <c r="I273" s="21" t="s">
        <v>105</v>
      </c>
      <c r="J273" s="21">
        <v>17.458108035762091</v>
      </c>
      <c r="K273" s="21">
        <v>107.02975444324601</v>
      </c>
      <c r="L273" s="21" t="s">
        <v>27</v>
      </c>
      <c r="M273" s="12" t="s">
        <v>28</v>
      </c>
      <c r="N273" s="11"/>
    </row>
    <row r="274" spans="1:14" x14ac:dyDescent="0.3">
      <c r="A274" s="20" t="s">
        <v>345</v>
      </c>
      <c r="B274" s="21">
        <v>96975</v>
      </c>
      <c r="C274" s="21">
        <v>1003</v>
      </c>
      <c r="D274" s="21">
        <v>742</v>
      </c>
      <c r="E274" s="21">
        <v>522618</v>
      </c>
      <c r="F274" s="21">
        <v>973073</v>
      </c>
      <c r="G274" s="21">
        <v>6</v>
      </c>
      <c r="H274" s="21" t="s">
        <v>14</v>
      </c>
      <c r="I274" s="21" t="s">
        <v>113</v>
      </c>
      <c r="J274" s="21">
        <v>12.41144624903326</v>
      </c>
      <c r="K274" s="21">
        <v>53.707995186383748</v>
      </c>
      <c r="L274" s="21" t="s">
        <v>16</v>
      </c>
      <c r="M274" s="12" t="s">
        <v>21</v>
      </c>
      <c r="N274" s="11"/>
    </row>
    <row r="275" spans="1:14" x14ac:dyDescent="0.3">
      <c r="A275" s="20" t="s">
        <v>346</v>
      </c>
      <c r="B275" s="21">
        <v>99876</v>
      </c>
      <c r="C275" s="21">
        <v>2386</v>
      </c>
      <c r="D275" s="21">
        <v>719</v>
      </c>
      <c r="E275" s="21">
        <v>447497</v>
      </c>
      <c r="F275" s="21">
        <v>655116</v>
      </c>
      <c r="G275" s="21">
        <v>8</v>
      </c>
      <c r="H275" s="21" t="s">
        <v>32</v>
      </c>
      <c r="I275" s="21" t="s">
        <v>61</v>
      </c>
      <c r="J275" s="21">
        <v>28.667547759221431</v>
      </c>
      <c r="K275" s="21">
        <v>68.308055367293733</v>
      </c>
      <c r="L275" s="21" t="s">
        <v>16</v>
      </c>
      <c r="M275" s="12" t="s">
        <v>21</v>
      </c>
      <c r="N275" s="11"/>
    </row>
    <row r="276" spans="1:14" x14ac:dyDescent="0.3">
      <c r="A276" s="20" t="s">
        <v>347</v>
      </c>
      <c r="B276" s="21">
        <v>110703</v>
      </c>
      <c r="C276" s="21">
        <v>840</v>
      </c>
      <c r="D276" s="21">
        <v>505</v>
      </c>
      <c r="E276" s="21">
        <v>937179</v>
      </c>
      <c r="F276" s="21">
        <v>243902</v>
      </c>
      <c r="G276" s="21">
        <v>11</v>
      </c>
      <c r="H276" s="21" t="s">
        <v>45</v>
      </c>
      <c r="I276" s="21" t="s">
        <v>41</v>
      </c>
      <c r="J276" s="21">
        <v>9.1054442969025242</v>
      </c>
      <c r="K276" s="21">
        <v>384.24408163934697</v>
      </c>
      <c r="L276" s="21" t="s">
        <v>27</v>
      </c>
      <c r="M276" s="12" t="s">
        <v>28</v>
      </c>
      <c r="N276" s="11"/>
    </row>
    <row r="277" spans="1:14" x14ac:dyDescent="0.3">
      <c r="A277" s="20" t="s">
        <v>348</v>
      </c>
      <c r="B277" s="21">
        <v>115844</v>
      </c>
      <c r="C277" s="21">
        <v>2435</v>
      </c>
      <c r="D277" s="21">
        <v>549</v>
      </c>
      <c r="E277" s="21">
        <v>790957</v>
      </c>
      <c r="F277" s="21">
        <v>429846</v>
      </c>
      <c r="G277" s="21">
        <v>10</v>
      </c>
      <c r="H277" s="21" t="s">
        <v>45</v>
      </c>
      <c r="I277" s="21" t="s">
        <v>82</v>
      </c>
      <c r="J277" s="21">
        <v>25.223576533959459</v>
      </c>
      <c r="K277" s="21">
        <v>184.00938940923029</v>
      </c>
      <c r="L277" s="21" t="s">
        <v>27</v>
      </c>
      <c r="M277" s="12" t="s">
        <v>28</v>
      </c>
      <c r="N277" s="11"/>
    </row>
    <row r="278" spans="1:14" x14ac:dyDescent="0.3">
      <c r="A278" s="20" t="s">
        <v>349</v>
      </c>
      <c r="B278" s="21">
        <v>77456</v>
      </c>
      <c r="C278" s="21">
        <v>1491</v>
      </c>
      <c r="D278" s="21">
        <v>634</v>
      </c>
      <c r="E278" s="21">
        <v>747847</v>
      </c>
      <c r="F278" s="21">
        <v>743142</v>
      </c>
      <c r="G278" s="21">
        <v>6</v>
      </c>
      <c r="H278" s="21" t="s">
        <v>19</v>
      </c>
      <c r="I278" s="21" t="s">
        <v>57</v>
      </c>
      <c r="J278" s="21">
        <v>23.099566205329481</v>
      </c>
      <c r="K278" s="21">
        <v>100.6331226064467</v>
      </c>
      <c r="L278" s="21" t="s">
        <v>27</v>
      </c>
      <c r="M278" s="12" t="s">
        <v>28</v>
      </c>
      <c r="N278" s="11"/>
    </row>
    <row r="279" spans="1:14" x14ac:dyDescent="0.3">
      <c r="A279" s="20" t="s">
        <v>350</v>
      </c>
      <c r="B279" s="21">
        <v>73560</v>
      </c>
      <c r="C279" s="21">
        <v>2080</v>
      </c>
      <c r="D279" s="21">
        <v>752</v>
      </c>
      <c r="E279" s="21">
        <v>319001</v>
      </c>
      <c r="F279" s="21">
        <v>463171</v>
      </c>
      <c r="G279" s="21">
        <v>7</v>
      </c>
      <c r="H279" s="21" t="s">
        <v>19</v>
      </c>
      <c r="I279" s="21" t="s">
        <v>53</v>
      </c>
      <c r="J279" s="21">
        <v>33.931484502446978</v>
      </c>
      <c r="K279" s="21">
        <v>68.873267108692033</v>
      </c>
      <c r="L279" s="21" t="s">
        <v>24</v>
      </c>
      <c r="M279" s="12" t="s">
        <v>21</v>
      </c>
      <c r="N279" s="11"/>
    </row>
    <row r="280" spans="1:14" x14ac:dyDescent="0.3">
      <c r="A280" s="20" t="s">
        <v>351</v>
      </c>
      <c r="B280" s="21">
        <v>93774</v>
      </c>
      <c r="C280" s="21">
        <v>2832</v>
      </c>
      <c r="D280" s="21">
        <v>804</v>
      </c>
      <c r="E280" s="21">
        <v>630352</v>
      </c>
      <c r="F280" s="21">
        <v>847683</v>
      </c>
      <c r="G280" s="21">
        <v>9</v>
      </c>
      <c r="H280" s="21" t="s">
        <v>14</v>
      </c>
      <c r="I280" s="21" t="s">
        <v>122</v>
      </c>
      <c r="J280" s="21">
        <v>36.240322477445773</v>
      </c>
      <c r="K280" s="21">
        <v>74.361760233483508</v>
      </c>
      <c r="L280" s="21" t="s">
        <v>24</v>
      </c>
      <c r="M280" s="12" t="s">
        <v>21</v>
      </c>
      <c r="N280" s="11"/>
    </row>
    <row r="281" spans="1:14" x14ac:dyDescent="0.3">
      <c r="A281" s="20" t="s">
        <v>352</v>
      </c>
      <c r="B281" s="21">
        <v>72273</v>
      </c>
      <c r="C281" s="21">
        <v>2256</v>
      </c>
      <c r="D281" s="21">
        <v>468</v>
      </c>
      <c r="E281" s="21">
        <v>373547</v>
      </c>
      <c r="F281" s="21">
        <v>745234</v>
      </c>
      <c r="G281" s="21">
        <v>3</v>
      </c>
      <c r="H281" s="21" t="s">
        <v>19</v>
      </c>
      <c r="I281" s="21" t="s">
        <v>86</v>
      </c>
      <c r="J281" s="21">
        <v>37.457971856709968</v>
      </c>
      <c r="K281" s="21">
        <v>50.124793018031923</v>
      </c>
      <c r="L281" s="21" t="s">
        <v>27</v>
      </c>
      <c r="M281" s="12" t="s">
        <v>28</v>
      </c>
      <c r="N281" s="11"/>
    </row>
    <row r="282" spans="1:14" x14ac:dyDescent="0.3">
      <c r="A282" s="20" t="s">
        <v>353</v>
      </c>
      <c r="B282" s="21">
        <v>107766</v>
      </c>
      <c r="C282" s="21">
        <v>2377</v>
      </c>
      <c r="D282" s="21">
        <v>774</v>
      </c>
      <c r="E282" s="21">
        <v>52687</v>
      </c>
      <c r="F282" s="21">
        <v>497324</v>
      </c>
      <c r="G282" s="21">
        <v>4</v>
      </c>
      <c r="H282" s="21" t="s">
        <v>32</v>
      </c>
      <c r="I282" s="21" t="s">
        <v>63</v>
      </c>
      <c r="J282" s="21">
        <v>26.468459439897561</v>
      </c>
      <c r="K282" s="21">
        <v>10.594099621172511</v>
      </c>
      <c r="L282" s="21" t="s">
        <v>24</v>
      </c>
      <c r="M282" s="12" t="s">
        <v>21</v>
      </c>
      <c r="N282" s="11"/>
    </row>
    <row r="283" spans="1:14" x14ac:dyDescent="0.3">
      <c r="A283" s="20" t="s">
        <v>354</v>
      </c>
      <c r="B283" s="21">
        <v>115154</v>
      </c>
      <c r="C283" s="21">
        <v>2850</v>
      </c>
      <c r="D283" s="21">
        <v>824</v>
      </c>
      <c r="E283" s="21">
        <v>795489</v>
      </c>
      <c r="F283" s="21">
        <v>922766</v>
      </c>
      <c r="G283" s="21">
        <v>5</v>
      </c>
      <c r="H283" s="21" t="s">
        <v>45</v>
      </c>
      <c r="I283" s="21" t="s">
        <v>53</v>
      </c>
      <c r="J283" s="21">
        <v>29.699359119092691</v>
      </c>
      <c r="K283" s="21">
        <v>86.207012395341835</v>
      </c>
      <c r="L283" s="21" t="s">
        <v>24</v>
      </c>
      <c r="M283" s="12" t="s">
        <v>17</v>
      </c>
      <c r="N283" s="11"/>
    </row>
    <row r="284" spans="1:14" x14ac:dyDescent="0.3">
      <c r="A284" s="20" t="s">
        <v>355</v>
      </c>
      <c r="B284" s="21">
        <v>110874</v>
      </c>
      <c r="C284" s="21">
        <v>639</v>
      </c>
      <c r="D284" s="21">
        <v>742</v>
      </c>
      <c r="E284" s="21">
        <v>636256</v>
      </c>
      <c r="F284" s="21">
        <v>252469</v>
      </c>
      <c r="G284" s="21">
        <v>10</v>
      </c>
      <c r="H284" s="21" t="s">
        <v>14</v>
      </c>
      <c r="I284" s="21" t="s">
        <v>82</v>
      </c>
      <c r="J284" s="21">
        <v>6.9159586557714174</v>
      </c>
      <c r="K284" s="21">
        <v>252.01351453049679</v>
      </c>
      <c r="L284" s="21" t="s">
        <v>16</v>
      </c>
      <c r="M284" s="12" t="s">
        <v>17</v>
      </c>
      <c r="N284" s="11"/>
    </row>
    <row r="285" spans="1:14" x14ac:dyDescent="0.3">
      <c r="A285" s="20" t="s">
        <v>356</v>
      </c>
      <c r="B285" s="21">
        <v>84301</v>
      </c>
      <c r="C285" s="21">
        <v>699</v>
      </c>
      <c r="D285" s="21">
        <v>455</v>
      </c>
      <c r="E285" s="21">
        <v>991991</v>
      </c>
      <c r="F285" s="21">
        <v>360445</v>
      </c>
      <c r="G285" s="21">
        <v>8</v>
      </c>
      <c r="H285" s="21" t="s">
        <v>32</v>
      </c>
      <c r="I285" s="21" t="s">
        <v>122</v>
      </c>
      <c r="J285" s="21">
        <v>9.9500599043902209</v>
      </c>
      <c r="K285" s="21">
        <v>275.21286187906622</v>
      </c>
      <c r="L285" s="21" t="s">
        <v>27</v>
      </c>
      <c r="M285" s="12" t="s">
        <v>28</v>
      </c>
      <c r="N285" s="11"/>
    </row>
    <row r="286" spans="1:14" x14ac:dyDescent="0.3">
      <c r="A286" s="20" t="s">
        <v>357</v>
      </c>
      <c r="B286" s="21">
        <v>92913</v>
      </c>
      <c r="C286" s="21">
        <v>1432</v>
      </c>
      <c r="D286" s="21">
        <v>626</v>
      </c>
      <c r="E286" s="21">
        <v>633158</v>
      </c>
      <c r="F286" s="21">
        <v>420384</v>
      </c>
      <c r="G286" s="21">
        <v>1</v>
      </c>
      <c r="H286" s="21" t="s">
        <v>19</v>
      </c>
      <c r="I286" s="21" t="s">
        <v>57</v>
      </c>
      <c r="J286" s="21">
        <v>18.49472086790869</v>
      </c>
      <c r="K286" s="21">
        <v>150.61420035015601</v>
      </c>
      <c r="L286" s="21" t="s">
        <v>27</v>
      </c>
      <c r="M286" s="12" t="s">
        <v>28</v>
      </c>
      <c r="N286" s="11"/>
    </row>
    <row r="287" spans="1:14" x14ac:dyDescent="0.3">
      <c r="A287" s="20" t="s">
        <v>358</v>
      </c>
      <c r="B287" s="21">
        <v>98256</v>
      </c>
      <c r="C287" s="21">
        <v>1279</v>
      </c>
      <c r="D287" s="21">
        <v>850</v>
      </c>
      <c r="E287" s="21">
        <v>386794</v>
      </c>
      <c r="F287" s="21">
        <v>686703</v>
      </c>
      <c r="G287" s="21">
        <v>7</v>
      </c>
      <c r="H287" s="21" t="s">
        <v>14</v>
      </c>
      <c r="I287" s="21" t="s">
        <v>75</v>
      </c>
      <c r="J287" s="21">
        <v>15.620420127015141</v>
      </c>
      <c r="K287" s="21">
        <v>56.326242931806043</v>
      </c>
      <c r="L287" s="21" t="s">
        <v>24</v>
      </c>
      <c r="M287" s="12" t="s">
        <v>21</v>
      </c>
      <c r="N287" s="11"/>
    </row>
    <row r="288" spans="1:14" x14ac:dyDescent="0.3">
      <c r="A288" s="20" t="s">
        <v>359</v>
      </c>
      <c r="B288" s="21">
        <v>103950</v>
      </c>
      <c r="C288" s="21">
        <v>2670</v>
      </c>
      <c r="D288" s="21">
        <v>480</v>
      </c>
      <c r="E288" s="21">
        <v>844599</v>
      </c>
      <c r="F288" s="21">
        <v>394689</v>
      </c>
      <c r="G288" s="21">
        <v>12</v>
      </c>
      <c r="H288" s="21" t="s">
        <v>32</v>
      </c>
      <c r="I288" s="21" t="s">
        <v>125</v>
      </c>
      <c r="J288" s="21">
        <v>30.822510822510829</v>
      </c>
      <c r="K288" s="21">
        <v>213.99101571110421</v>
      </c>
      <c r="L288" s="21" t="s">
        <v>27</v>
      </c>
      <c r="M288" s="12" t="s">
        <v>28</v>
      </c>
      <c r="N288" s="11"/>
    </row>
    <row r="289" spans="1:14" x14ac:dyDescent="0.3">
      <c r="A289" s="20" t="s">
        <v>360</v>
      </c>
      <c r="B289" s="21">
        <v>102004</v>
      </c>
      <c r="C289" s="21">
        <v>470</v>
      </c>
      <c r="D289" s="21">
        <v>679</v>
      </c>
      <c r="E289" s="21">
        <v>313595</v>
      </c>
      <c r="F289" s="21">
        <v>704020</v>
      </c>
      <c r="G289" s="21">
        <v>7</v>
      </c>
      <c r="H289" s="21" t="s">
        <v>32</v>
      </c>
      <c r="I289" s="21" t="s">
        <v>26</v>
      </c>
      <c r="J289" s="21">
        <v>5.5291949335320183</v>
      </c>
      <c r="K289" s="21">
        <v>44.543478878440951</v>
      </c>
      <c r="L289" s="21" t="s">
        <v>16</v>
      </c>
      <c r="M289" s="12" t="s">
        <v>17</v>
      </c>
      <c r="N289" s="11"/>
    </row>
    <row r="290" spans="1:14" x14ac:dyDescent="0.3">
      <c r="A290" s="20" t="s">
        <v>361</v>
      </c>
      <c r="B290" s="21">
        <v>99477</v>
      </c>
      <c r="C290" s="21">
        <v>1265</v>
      </c>
      <c r="D290" s="21">
        <v>792</v>
      </c>
      <c r="E290" s="21">
        <v>245950</v>
      </c>
      <c r="F290" s="21">
        <v>259591</v>
      </c>
      <c r="G290" s="21">
        <v>8</v>
      </c>
      <c r="H290" s="21" t="s">
        <v>45</v>
      </c>
      <c r="I290" s="21" t="s">
        <v>99</v>
      </c>
      <c r="J290" s="21">
        <v>15.25980880002413</v>
      </c>
      <c r="K290" s="21">
        <v>94.745195326494368</v>
      </c>
      <c r="L290" s="21" t="s">
        <v>24</v>
      </c>
      <c r="M290" s="12" t="s">
        <v>17</v>
      </c>
      <c r="N290" s="11"/>
    </row>
    <row r="291" spans="1:14" x14ac:dyDescent="0.3">
      <c r="A291" s="20" t="s">
        <v>362</v>
      </c>
      <c r="B291" s="21">
        <v>107015</v>
      </c>
      <c r="C291" s="21">
        <v>2156</v>
      </c>
      <c r="D291" s="21">
        <v>552</v>
      </c>
      <c r="E291" s="21">
        <v>793989</v>
      </c>
      <c r="F291" s="21">
        <v>887961</v>
      </c>
      <c r="G291" s="21">
        <v>6</v>
      </c>
      <c r="H291" s="21" t="s">
        <v>19</v>
      </c>
      <c r="I291" s="21" t="s">
        <v>91</v>
      </c>
      <c r="J291" s="21">
        <v>24.176050086436479</v>
      </c>
      <c r="K291" s="21">
        <v>89.417102778162544</v>
      </c>
      <c r="L291" s="21" t="s">
        <v>27</v>
      </c>
      <c r="M291" s="12" t="s">
        <v>28</v>
      </c>
      <c r="N291" s="11"/>
    </row>
    <row r="292" spans="1:14" x14ac:dyDescent="0.3">
      <c r="A292" s="20" t="s">
        <v>363</v>
      </c>
      <c r="B292" s="21">
        <v>103345</v>
      </c>
      <c r="C292" s="21">
        <v>506</v>
      </c>
      <c r="D292" s="21">
        <v>772</v>
      </c>
      <c r="E292" s="21">
        <v>206404</v>
      </c>
      <c r="F292" s="21">
        <v>433890</v>
      </c>
      <c r="G292" s="21">
        <v>8</v>
      </c>
      <c r="H292" s="21" t="s">
        <v>14</v>
      </c>
      <c r="I292" s="21" t="s">
        <v>125</v>
      </c>
      <c r="J292" s="21">
        <v>5.8754656732304413</v>
      </c>
      <c r="K292" s="21">
        <v>47.570582405678863</v>
      </c>
      <c r="L292" s="21" t="s">
        <v>24</v>
      </c>
      <c r="M292" s="12" t="s">
        <v>21</v>
      </c>
      <c r="N292" s="11"/>
    </row>
    <row r="293" spans="1:14" x14ac:dyDescent="0.3">
      <c r="A293" s="20" t="s">
        <v>364</v>
      </c>
      <c r="B293" s="21">
        <v>92688</v>
      </c>
      <c r="C293" s="21">
        <v>868</v>
      </c>
      <c r="D293" s="21">
        <v>686</v>
      </c>
      <c r="E293" s="21">
        <v>701638</v>
      </c>
      <c r="F293" s="21">
        <v>963537</v>
      </c>
      <c r="G293" s="21">
        <v>9</v>
      </c>
      <c r="H293" s="21" t="s">
        <v>45</v>
      </c>
      <c r="I293" s="21" t="s">
        <v>120</v>
      </c>
      <c r="J293" s="21">
        <v>11.23770067322631</v>
      </c>
      <c r="K293" s="21">
        <v>72.818999166612173</v>
      </c>
      <c r="L293" s="21" t="s">
        <v>16</v>
      </c>
      <c r="M293" s="12" t="s">
        <v>17</v>
      </c>
      <c r="N293" s="11"/>
    </row>
    <row r="294" spans="1:14" x14ac:dyDescent="0.3">
      <c r="A294" s="20" t="s">
        <v>365</v>
      </c>
      <c r="B294" s="21">
        <v>105460</v>
      </c>
      <c r="C294" s="21">
        <v>1881</v>
      </c>
      <c r="D294" s="21">
        <v>462</v>
      </c>
      <c r="E294" s="21">
        <v>184607</v>
      </c>
      <c r="F294" s="21">
        <v>755444</v>
      </c>
      <c r="G294" s="21">
        <v>3</v>
      </c>
      <c r="H294" s="21" t="s">
        <v>14</v>
      </c>
      <c r="I294" s="21" t="s">
        <v>43</v>
      </c>
      <c r="J294" s="21">
        <v>21.40337568746444</v>
      </c>
      <c r="K294" s="21">
        <v>24.43688744632296</v>
      </c>
      <c r="L294" s="21" t="s">
        <v>27</v>
      </c>
      <c r="M294" s="12" t="s">
        <v>28</v>
      </c>
      <c r="N294" s="11"/>
    </row>
    <row r="295" spans="1:14" x14ac:dyDescent="0.3">
      <c r="A295" s="20" t="s">
        <v>366</v>
      </c>
      <c r="B295" s="21">
        <v>107286</v>
      </c>
      <c r="C295" s="21">
        <v>857</v>
      </c>
      <c r="D295" s="21">
        <v>750</v>
      </c>
      <c r="E295" s="21">
        <v>286320</v>
      </c>
      <c r="F295" s="21">
        <v>508591</v>
      </c>
      <c r="G295" s="21">
        <v>10</v>
      </c>
      <c r="H295" s="21" t="s">
        <v>19</v>
      </c>
      <c r="I295" s="21" t="s">
        <v>222</v>
      </c>
      <c r="J295" s="21">
        <v>9.5855936468877587</v>
      </c>
      <c r="K295" s="21">
        <v>56.296709929983038</v>
      </c>
      <c r="L295" s="21" t="s">
        <v>24</v>
      </c>
      <c r="M295" s="12" t="s">
        <v>21</v>
      </c>
      <c r="N295" s="11"/>
    </row>
    <row r="296" spans="1:14" x14ac:dyDescent="0.3">
      <c r="A296" s="20" t="s">
        <v>367</v>
      </c>
      <c r="B296" s="21">
        <v>100297</v>
      </c>
      <c r="C296" s="21">
        <v>533</v>
      </c>
      <c r="D296" s="21">
        <v>822</v>
      </c>
      <c r="E296" s="21">
        <v>526044</v>
      </c>
      <c r="F296" s="21">
        <v>771906</v>
      </c>
      <c r="G296" s="21">
        <v>4</v>
      </c>
      <c r="H296" s="21" t="s">
        <v>32</v>
      </c>
      <c r="I296" s="21" t="s">
        <v>20</v>
      </c>
      <c r="J296" s="21">
        <v>6.3770601314097144</v>
      </c>
      <c r="K296" s="21">
        <v>68.148712407987503</v>
      </c>
      <c r="L296" s="21" t="s">
        <v>24</v>
      </c>
      <c r="M296" s="12" t="s">
        <v>21</v>
      </c>
      <c r="N296" s="11"/>
    </row>
    <row r="297" spans="1:14" x14ac:dyDescent="0.3">
      <c r="A297" s="20" t="s">
        <v>368</v>
      </c>
      <c r="B297" s="21">
        <v>82008</v>
      </c>
      <c r="C297" s="21">
        <v>844</v>
      </c>
      <c r="D297" s="21">
        <v>729</v>
      </c>
      <c r="E297" s="21">
        <v>511031</v>
      </c>
      <c r="F297" s="21">
        <v>888164</v>
      </c>
      <c r="G297" s="21">
        <v>8</v>
      </c>
      <c r="H297" s="21" t="s">
        <v>45</v>
      </c>
      <c r="I297" s="21" t="s">
        <v>157</v>
      </c>
      <c r="J297" s="21">
        <v>12.350014632718761</v>
      </c>
      <c r="K297" s="21">
        <v>57.53790966533208</v>
      </c>
      <c r="L297" s="21" t="s">
        <v>16</v>
      </c>
      <c r="M297" s="12" t="s">
        <v>21</v>
      </c>
      <c r="N297" s="11"/>
    </row>
    <row r="298" spans="1:14" x14ac:dyDescent="0.3">
      <c r="A298" s="20" t="s">
        <v>369</v>
      </c>
      <c r="B298" s="21">
        <v>74836</v>
      </c>
      <c r="C298" s="21">
        <v>578</v>
      </c>
      <c r="D298" s="21">
        <v>744</v>
      </c>
      <c r="E298" s="21">
        <v>966079</v>
      </c>
      <c r="F298" s="21">
        <v>423234</v>
      </c>
      <c r="G298" s="21">
        <v>4</v>
      </c>
      <c r="H298" s="21" t="s">
        <v>45</v>
      </c>
      <c r="I298" s="21" t="s">
        <v>157</v>
      </c>
      <c r="J298" s="21">
        <v>9.268266609653109</v>
      </c>
      <c r="K298" s="21">
        <v>228.2611982969232</v>
      </c>
      <c r="L298" s="21" t="s">
        <v>16</v>
      </c>
      <c r="M298" s="12" t="s">
        <v>17</v>
      </c>
      <c r="N298" s="11"/>
    </row>
    <row r="299" spans="1:14" x14ac:dyDescent="0.3">
      <c r="A299" s="20" t="s">
        <v>370</v>
      </c>
      <c r="B299" s="21">
        <v>87478</v>
      </c>
      <c r="C299" s="21">
        <v>1814</v>
      </c>
      <c r="D299" s="21">
        <v>653</v>
      </c>
      <c r="E299" s="21">
        <v>499228</v>
      </c>
      <c r="F299" s="21">
        <v>594553</v>
      </c>
      <c r="G299" s="21">
        <v>8</v>
      </c>
      <c r="H299" s="21" t="s">
        <v>32</v>
      </c>
      <c r="I299" s="21" t="s">
        <v>41</v>
      </c>
      <c r="J299" s="21">
        <v>24.88397082695078</v>
      </c>
      <c r="K299" s="21">
        <v>83.966946596855124</v>
      </c>
      <c r="L299" s="21" t="s">
        <v>16</v>
      </c>
      <c r="M299" s="12" t="s">
        <v>17</v>
      </c>
      <c r="N299" s="11"/>
    </row>
    <row r="300" spans="1:14" x14ac:dyDescent="0.3">
      <c r="A300" s="20" t="s">
        <v>371</v>
      </c>
      <c r="B300" s="21">
        <v>104160</v>
      </c>
      <c r="C300" s="21">
        <v>1870</v>
      </c>
      <c r="D300" s="21">
        <v>606</v>
      </c>
      <c r="E300" s="21">
        <v>353034</v>
      </c>
      <c r="F300" s="21">
        <v>266856</v>
      </c>
      <c r="G300" s="21">
        <v>10</v>
      </c>
      <c r="H300" s="21" t="s">
        <v>19</v>
      </c>
      <c r="I300" s="21" t="s">
        <v>41</v>
      </c>
      <c r="J300" s="21">
        <v>21.54377880184332</v>
      </c>
      <c r="K300" s="21">
        <v>132.29382138681541</v>
      </c>
      <c r="L300" s="21" t="s">
        <v>27</v>
      </c>
      <c r="M300" s="12" t="s">
        <v>28</v>
      </c>
      <c r="N300" s="11"/>
    </row>
    <row r="301" spans="1:14" x14ac:dyDescent="0.3">
      <c r="A301" s="20" t="s">
        <v>372</v>
      </c>
      <c r="B301" s="21">
        <v>106670</v>
      </c>
      <c r="C301" s="21">
        <v>1731</v>
      </c>
      <c r="D301" s="21">
        <v>625</v>
      </c>
      <c r="E301" s="21">
        <v>544285</v>
      </c>
      <c r="F301" s="21">
        <v>903801</v>
      </c>
      <c r="G301" s="21">
        <v>4</v>
      </c>
      <c r="H301" s="21" t="s">
        <v>19</v>
      </c>
      <c r="I301" s="21" t="s">
        <v>26</v>
      </c>
      <c r="J301" s="21">
        <v>19.473141464329242</v>
      </c>
      <c r="K301" s="21">
        <v>60.221774483542291</v>
      </c>
      <c r="L301" s="21" t="s">
        <v>27</v>
      </c>
      <c r="M301" s="12" t="s">
        <v>28</v>
      </c>
      <c r="N301" s="11"/>
    </row>
    <row r="302" spans="1:14" x14ac:dyDescent="0.3">
      <c r="A302" s="20" t="s">
        <v>373</v>
      </c>
      <c r="B302" s="21">
        <v>79616</v>
      </c>
      <c r="C302" s="21">
        <v>1521</v>
      </c>
      <c r="D302" s="21">
        <v>772</v>
      </c>
      <c r="E302" s="21">
        <v>740482</v>
      </c>
      <c r="F302" s="21">
        <v>399979</v>
      </c>
      <c r="G302" s="21">
        <v>6</v>
      </c>
      <c r="H302" s="21" t="s">
        <v>32</v>
      </c>
      <c r="I302" s="21" t="s">
        <v>26</v>
      </c>
      <c r="J302" s="21">
        <v>22.925040192926041</v>
      </c>
      <c r="K302" s="21">
        <v>185.13021933651521</v>
      </c>
      <c r="L302" s="21" t="s">
        <v>24</v>
      </c>
      <c r="M302" s="12" t="s">
        <v>17</v>
      </c>
      <c r="N302" s="11"/>
    </row>
    <row r="303" spans="1:14" x14ac:dyDescent="0.3">
      <c r="A303" s="20" t="s">
        <v>374</v>
      </c>
      <c r="B303" s="21">
        <v>83897</v>
      </c>
      <c r="C303" s="21">
        <v>1994</v>
      </c>
      <c r="D303" s="21">
        <v>747</v>
      </c>
      <c r="E303" s="21">
        <v>830865</v>
      </c>
      <c r="F303" s="21">
        <v>667191</v>
      </c>
      <c r="G303" s="21">
        <v>10</v>
      </c>
      <c r="H303" s="21" t="s">
        <v>32</v>
      </c>
      <c r="I303" s="21" t="s">
        <v>46</v>
      </c>
      <c r="J303" s="21">
        <v>28.520686079359219</v>
      </c>
      <c r="K303" s="21">
        <v>124.5318057347896</v>
      </c>
      <c r="L303" s="21" t="s">
        <v>16</v>
      </c>
      <c r="M303" s="12" t="s">
        <v>17</v>
      </c>
      <c r="N303" s="11"/>
    </row>
    <row r="304" spans="1:14" x14ac:dyDescent="0.3">
      <c r="A304" s="20" t="s">
        <v>375</v>
      </c>
      <c r="B304" s="21">
        <v>94892</v>
      </c>
      <c r="C304" s="21">
        <v>2391</v>
      </c>
      <c r="D304" s="21">
        <v>556</v>
      </c>
      <c r="E304" s="21">
        <v>374984</v>
      </c>
      <c r="F304" s="21">
        <v>970377</v>
      </c>
      <c r="G304" s="21">
        <v>12</v>
      </c>
      <c r="H304" s="21" t="s">
        <v>32</v>
      </c>
      <c r="I304" s="21" t="s">
        <v>49</v>
      </c>
      <c r="J304" s="21">
        <v>30.236479366016098</v>
      </c>
      <c r="K304" s="21">
        <v>38.643125300785158</v>
      </c>
      <c r="L304" s="21" t="s">
        <v>27</v>
      </c>
      <c r="M304" s="12" t="s">
        <v>28</v>
      </c>
      <c r="N304" s="11"/>
    </row>
    <row r="305" spans="1:14" x14ac:dyDescent="0.3">
      <c r="A305" s="20" t="s">
        <v>376</v>
      </c>
      <c r="B305" s="21">
        <v>86803</v>
      </c>
      <c r="C305" s="21">
        <v>2981</v>
      </c>
      <c r="D305" s="21">
        <v>673</v>
      </c>
      <c r="E305" s="21">
        <v>497304</v>
      </c>
      <c r="F305" s="21">
        <v>381735</v>
      </c>
      <c r="G305" s="21">
        <v>2</v>
      </c>
      <c r="H305" s="21" t="s">
        <v>45</v>
      </c>
      <c r="I305" s="21" t="s">
        <v>172</v>
      </c>
      <c r="J305" s="21">
        <v>41.210557238805109</v>
      </c>
      <c r="K305" s="21">
        <v>130.27466698102091</v>
      </c>
      <c r="L305" s="21" t="s">
        <v>16</v>
      </c>
      <c r="M305" s="12" t="s">
        <v>17</v>
      </c>
      <c r="N305" s="11"/>
    </row>
    <row r="306" spans="1:14" x14ac:dyDescent="0.3">
      <c r="A306" s="20" t="s">
        <v>377</v>
      </c>
      <c r="B306" s="21">
        <v>114453</v>
      </c>
      <c r="C306" s="21">
        <v>1930</v>
      </c>
      <c r="D306" s="21">
        <v>578</v>
      </c>
      <c r="E306" s="21">
        <v>954735</v>
      </c>
      <c r="F306" s="21">
        <v>963725</v>
      </c>
      <c r="G306" s="21">
        <v>6</v>
      </c>
      <c r="H306" s="21" t="s">
        <v>14</v>
      </c>
      <c r="I306" s="21" t="s">
        <v>77</v>
      </c>
      <c r="J306" s="21">
        <v>20.235380461848969</v>
      </c>
      <c r="K306" s="21">
        <v>99.067161275260062</v>
      </c>
      <c r="L306" s="21" t="s">
        <v>27</v>
      </c>
      <c r="M306" s="12" t="s">
        <v>28</v>
      </c>
      <c r="N306" s="11"/>
    </row>
    <row r="307" spans="1:14" x14ac:dyDescent="0.3">
      <c r="A307" s="20" t="s">
        <v>378</v>
      </c>
      <c r="B307" s="21">
        <v>82307</v>
      </c>
      <c r="C307" s="21">
        <v>1429</v>
      </c>
      <c r="D307" s="21">
        <v>799</v>
      </c>
      <c r="E307" s="21">
        <v>495473</v>
      </c>
      <c r="F307" s="21">
        <v>578298</v>
      </c>
      <c r="G307" s="21">
        <v>9</v>
      </c>
      <c r="H307" s="21" t="s">
        <v>32</v>
      </c>
      <c r="I307" s="21" t="s">
        <v>187</v>
      </c>
      <c r="J307" s="21">
        <v>20.834193932472331</v>
      </c>
      <c r="K307" s="21">
        <v>85.6777993352908</v>
      </c>
      <c r="L307" s="21" t="s">
        <v>24</v>
      </c>
      <c r="M307" s="12" t="s">
        <v>17</v>
      </c>
      <c r="N307" s="11"/>
    </row>
    <row r="308" spans="1:14" x14ac:dyDescent="0.3">
      <c r="A308" s="20" t="s">
        <v>379</v>
      </c>
      <c r="B308" s="21">
        <v>78302</v>
      </c>
      <c r="C308" s="21">
        <v>1086</v>
      </c>
      <c r="D308" s="21">
        <v>504</v>
      </c>
      <c r="E308" s="21">
        <v>816202</v>
      </c>
      <c r="F308" s="21">
        <v>980856</v>
      </c>
      <c r="G308" s="21">
        <v>12</v>
      </c>
      <c r="H308" s="21" t="s">
        <v>32</v>
      </c>
      <c r="I308" s="21" t="s">
        <v>75</v>
      </c>
      <c r="J308" s="21">
        <v>16.643253045899211</v>
      </c>
      <c r="K308" s="21">
        <v>83.213234154656746</v>
      </c>
      <c r="L308" s="21" t="s">
        <v>27</v>
      </c>
      <c r="M308" s="12" t="s">
        <v>28</v>
      </c>
      <c r="N308" s="11"/>
    </row>
    <row r="309" spans="1:14" x14ac:dyDescent="0.3">
      <c r="A309" s="20" t="s">
        <v>380</v>
      </c>
      <c r="B309" s="21">
        <v>74976</v>
      </c>
      <c r="C309" s="21">
        <v>1245</v>
      </c>
      <c r="D309" s="21">
        <v>732</v>
      </c>
      <c r="E309" s="21">
        <v>202465</v>
      </c>
      <c r="F309" s="21">
        <v>452426</v>
      </c>
      <c r="G309" s="21">
        <v>8</v>
      </c>
      <c r="H309" s="21" t="s">
        <v>45</v>
      </c>
      <c r="I309" s="21" t="s">
        <v>63</v>
      </c>
      <c r="J309" s="21">
        <v>19.926376440460949</v>
      </c>
      <c r="K309" s="21">
        <v>44.750964798663198</v>
      </c>
      <c r="L309" s="21" t="s">
        <v>16</v>
      </c>
      <c r="M309" s="12" t="s">
        <v>21</v>
      </c>
      <c r="N309" s="11"/>
    </row>
    <row r="310" spans="1:14" x14ac:dyDescent="0.3">
      <c r="A310" s="20" t="s">
        <v>381</v>
      </c>
      <c r="B310" s="21">
        <v>94750</v>
      </c>
      <c r="C310" s="21">
        <v>2875</v>
      </c>
      <c r="D310" s="21">
        <v>509</v>
      </c>
      <c r="E310" s="21">
        <v>607975</v>
      </c>
      <c r="F310" s="21">
        <v>220780</v>
      </c>
      <c r="G310" s="21">
        <v>10</v>
      </c>
      <c r="H310" s="21" t="s">
        <v>14</v>
      </c>
      <c r="I310" s="21" t="s">
        <v>35</v>
      </c>
      <c r="J310" s="21">
        <v>36.41160949868074</v>
      </c>
      <c r="K310" s="21">
        <v>275.37593984962399</v>
      </c>
      <c r="L310" s="21" t="s">
        <v>27</v>
      </c>
      <c r="M310" s="12" t="s">
        <v>28</v>
      </c>
      <c r="N310" s="11"/>
    </row>
    <row r="311" spans="1:14" x14ac:dyDescent="0.3">
      <c r="A311" s="20" t="s">
        <v>382</v>
      </c>
      <c r="B311" s="21">
        <v>72915</v>
      </c>
      <c r="C311" s="21">
        <v>1883</v>
      </c>
      <c r="D311" s="21">
        <v>674</v>
      </c>
      <c r="E311" s="21">
        <v>289606</v>
      </c>
      <c r="F311" s="21">
        <v>794579</v>
      </c>
      <c r="G311" s="21">
        <v>7</v>
      </c>
      <c r="H311" s="21" t="s">
        <v>32</v>
      </c>
      <c r="I311" s="21" t="s">
        <v>77</v>
      </c>
      <c r="J311" s="21">
        <v>30.98950833161901</v>
      </c>
      <c r="K311" s="21">
        <v>36.447728923115257</v>
      </c>
      <c r="L311" s="21" t="s">
        <v>16</v>
      </c>
      <c r="M311" s="12" t="s">
        <v>17</v>
      </c>
      <c r="N311" s="11"/>
    </row>
    <row r="312" spans="1:14" x14ac:dyDescent="0.3">
      <c r="A312" s="20" t="s">
        <v>383</v>
      </c>
      <c r="B312" s="21">
        <v>84336</v>
      </c>
      <c r="C312" s="21">
        <v>1219</v>
      </c>
      <c r="D312" s="21">
        <v>702</v>
      </c>
      <c r="E312" s="21">
        <v>512970</v>
      </c>
      <c r="F312" s="21">
        <v>835167</v>
      </c>
      <c r="G312" s="21">
        <v>9</v>
      </c>
      <c r="H312" s="21" t="s">
        <v>14</v>
      </c>
      <c r="I312" s="21" t="s">
        <v>82</v>
      </c>
      <c r="J312" s="21">
        <v>17.34490608992601</v>
      </c>
      <c r="K312" s="21">
        <v>61.421248684394861</v>
      </c>
      <c r="L312" s="21" t="s">
        <v>16</v>
      </c>
      <c r="M312" s="12" t="s">
        <v>21</v>
      </c>
      <c r="N312" s="11"/>
    </row>
    <row r="313" spans="1:14" x14ac:dyDescent="0.3">
      <c r="A313" s="20" t="s">
        <v>384</v>
      </c>
      <c r="B313" s="21">
        <v>109953</v>
      </c>
      <c r="C313" s="21">
        <v>1973</v>
      </c>
      <c r="D313" s="21">
        <v>542</v>
      </c>
      <c r="E313" s="21">
        <v>261556</v>
      </c>
      <c r="F313" s="21">
        <v>882990</v>
      </c>
      <c r="G313" s="21">
        <v>8</v>
      </c>
      <c r="H313" s="21" t="s">
        <v>32</v>
      </c>
      <c r="I313" s="21" t="s">
        <v>33</v>
      </c>
      <c r="J313" s="21">
        <v>21.532836757523668</v>
      </c>
      <c r="K313" s="21">
        <v>29.621626518986631</v>
      </c>
      <c r="L313" s="21" t="s">
        <v>27</v>
      </c>
      <c r="M313" s="12" t="s">
        <v>28</v>
      </c>
      <c r="N313" s="11"/>
    </row>
    <row r="314" spans="1:14" x14ac:dyDescent="0.3">
      <c r="A314" s="20" t="s">
        <v>385</v>
      </c>
      <c r="B314" s="21">
        <v>88853</v>
      </c>
      <c r="C314" s="21">
        <v>2764</v>
      </c>
      <c r="D314" s="21">
        <v>524</v>
      </c>
      <c r="E314" s="21">
        <v>888619</v>
      </c>
      <c r="F314" s="21">
        <v>993302</v>
      </c>
      <c r="G314" s="21">
        <v>7</v>
      </c>
      <c r="H314" s="21" t="s">
        <v>45</v>
      </c>
      <c r="I314" s="21" t="s">
        <v>37</v>
      </c>
      <c r="J314" s="21">
        <v>37.329071612663611</v>
      </c>
      <c r="K314" s="21">
        <v>89.461110518251246</v>
      </c>
      <c r="L314" s="21" t="s">
        <v>27</v>
      </c>
      <c r="M314" s="12" t="s">
        <v>28</v>
      </c>
      <c r="N314" s="11"/>
    </row>
    <row r="315" spans="1:14" x14ac:dyDescent="0.3">
      <c r="A315" s="20" t="s">
        <v>386</v>
      </c>
      <c r="B315" s="21">
        <v>97948</v>
      </c>
      <c r="C315" s="21">
        <v>2009</v>
      </c>
      <c r="D315" s="21">
        <v>767</v>
      </c>
      <c r="E315" s="21">
        <v>96622</v>
      </c>
      <c r="F315" s="21">
        <v>451790</v>
      </c>
      <c r="G315" s="21">
        <v>6</v>
      </c>
      <c r="H315" s="21" t="s">
        <v>19</v>
      </c>
      <c r="I315" s="21" t="s">
        <v>75</v>
      </c>
      <c r="J315" s="21">
        <v>24.613059991015639</v>
      </c>
      <c r="K315" s="21">
        <v>21.38648487128976</v>
      </c>
      <c r="L315" s="21" t="s">
        <v>24</v>
      </c>
      <c r="M315" s="12" t="s">
        <v>21</v>
      </c>
      <c r="N315" s="11"/>
    </row>
    <row r="316" spans="1:14" x14ac:dyDescent="0.3">
      <c r="A316" s="20" t="s">
        <v>387</v>
      </c>
      <c r="B316" s="21">
        <v>87152</v>
      </c>
      <c r="C316" s="21">
        <v>620</v>
      </c>
      <c r="D316" s="21">
        <v>618</v>
      </c>
      <c r="E316" s="21">
        <v>922717</v>
      </c>
      <c r="F316" s="21">
        <v>535605</v>
      </c>
      <c r="G316" s="21">
        <v>10</v>
      </c>
      <c r="H316" s="21" t="s">
        <v>14</v>
      </c>
      <c r="I316" s="21" t="s">
        <v>63</v>
      </c>
      <c r="J316" s="21">
        <v>8.5368092527997064</v>
      </c>
      <c r="K316" s="21">
        <v>172.2756508994502</v>
      </c>
      <c r="L316" s="21" t="s">
        <v>27</v>
      </c>
      <c r="M316" s="12" t="s">
        <v>28</v>
      </c>
      <c r="N316" s="11"/>
    </row>
    <row r="317" spans="1:14" x14ac:dyDescent="0.3">
      <c r="A317" s="20" t="s">
        <v>388</v>
      </c>
      <c r="B317" s="21">
        <v>85255</v>
      </c>
      <c r="C317" s="21">
        <v>1266</v>
      </c>
      <c r="D317" s="21">
        <v>708</v>
      </c>
      <c r="E317" s="21">
        <v>505242</v>
      </c>
      <c r="F317" s="21">
        <v>562441</v>
      </c>
      <c r="G317" s="21">
        <v>4</v>
      </c>
      <c r="H317" s="21" t="s">
        <v>45</v>
      </c>
      <c r="I317" s="21" t="s">
        <v>66</v>
      </c>
      <c r="J317" s="21">
        <v>17.819482728285731</v>
      </c>
      <c r="K317" s="21">
        <v>89.830222192194384</v>
      </c>
      <c r="L317" s="21" t="s">
        <v>16</v>
      </c>
      <c r="M317" s="12" t="s">
        <v>17</v>
      </c>
      <c r="N317" s="11"/>
    </row>
    <row r="318" spans="1:14" x14ac:dyDescent="0.3">
      <c r="A318" s="20" t="s">
        <v>389</v>
      </c>
      <c r="B318" s="21">
        <v>91445</v>
      </c>
      <c r="C318" s="21">
        <v>921</v>
      </c>
      <c r="D318" s="21">
        <v>658</v>
      </c>
      <c r="E318" s="21">
        <v>916626</v>
      </c>
      <c r="F318" s="21">
        <v>744009</v>
      </c>
      <c r="G318" s="21">
        <v>11</v>
      </c>
      <c r="H318" s="21" t="s">
        <v>32</v>
      </c>
      <c r="I318" s="21" t="s">
        <v>15</v>
      </c>
      <c r="J318" s="21">
        <v>12.085953305265461</v>
      </c>
      <c r="K318" s="21">
        <v>123.2009290210199</v>
      </c>
      <c r="L318" s="21" t="s">
        <v>16</v>
      </c>
      <c r="M318" s="12" t="s">
        <v>17</v>
      </c>
      <c r="N318" s="11"/>
    </row>
    <row r="319" spans="1:14" x14ac:dyDescent="0.3">
      <c r="A319" s="20" t="s">
        <v>390</v>
      </c>
      <c r="B319" s="21">
        <v>89590</v>
      </c>
      <c r="C319" s="21">
        <v>905</v>
      </c>
      <c r="D319" s="21">
        <v>805</v>
      </c>
      <c r="E319" s="21">
        <v>871495</v>
      </c>
      <c r="F319" s="21">
        <v>387397</v>
      </c>
      <c r="G319" s="21">
        <v>12</v>
      </c>
      <c r="H319" s="21" t="s">
        <v>45</v>
      </c>
      <c r="I319" s="21" t="s">
        <v>86</v>
      </c>
      <c r="J319" s="21">
        <v>12.1218886036388</v>
      </c>
      <c r="K319" s="21">
        <v>224.96173176353969</v>
      </c>
      <c r="L319" s="21" t="s">
        <v>24</v>
      </c>
      <c r="M319" s="12" t="s">
        <v>17</v>
      </c>
      <c r="N319" s="11"/>
    </row>
    <row r="320" spans="1:14" x14ac:dyDescent="0.3">
      <c r="A320" s="20" t="s">
        <v>391</v>
      </c>
      <c r="B320" s="21">
        <v>96018</v>
      </c>
      <c r="C320" s="21">
        <v>2036</v>
      </c>
      <c r="D320" s="21">
        <v>657</v>
      </c>
      <c r="E320" s="21">
        <v>780361</v>
      </c>
      <c r="F320" s="21">
        <v>910878</v>
      </c>
      <c r="G320" s="21">
        <v>12</v>
      </c>
      <c r="H320" s="21" t="s">
        <v>14</v>
      </c>
      <c r="I320" s="21" t="s">
        <v>91</v>
      </c>
      <c r="J320" s="21">
        <v>25.44522901955883</v>
      </c>
      <c r="K320" s="21">
        <v>85.671297363642552</v>
      </c>
      <c r="L320" s="21" t="s">
        <v>16</v>
      </c>
      <c r="M320" s="12" t="s">
        <v>17</v>
      </c>
      <c r="N320" s="11"/>
    </row>
    <row r="321" spans="1:14" x14ac:dyDescent="0.3">
      <c r="A321" s="20" t="s">
        <v>392</v>
      </c>
      <c r="B321" s="21">
        <v>88473</v>
      </c>
      <c r="C321" s="21">
        <v>2720</v>
      </c>
      <c r="D321" s="21">
        <v>575</v>
      </c>
      <c r="E321" s="21">
        <v>963921</v>
      </c>
      <c r="F321" s="21">
        <v>444068</v>
      </c>
      <c r="G321" s="21">
        <v>11</v>
      </c>
      <c r="H321" s="21" t="s">
        <v>14</v>
      </c>
      <c r="I321" s="21" t="s">
        <v>69</v>
      </c>
      <c r="J321" s="21">
        <v>36.892611305143937</v>
      </c>
      <c r="K321" s="21">
        <v>217.0660799697344</v>
      </c>
      <c r="L321" s="21" t="s">
        <v>27</v>
      </c>
      <c r="M321" s="12" t="s">
        <v>28</v>
      </c>
      <c r="N321" s="11"/>
    </row>
    <row r="322" spans="1:14" x14ac:dyDescent="0.3">
      <c r="A322" s="20" t="s">
        <v>393</v>
      </c>
      <c r="B322" s="21">
        <v>85061</v>
      </c>
      <c r="C322" s="21">
        <v>1144</v>
      </c>
      <c r="D322" s="21">
        <v>659</v>
      </c>
      <c r="E322" s="21">
        <v>673556</v>
      </c>
      <c r="F322" s="21">
        <v>770191</v>
      </c>
      <c r="G322" s="21">
        <v>2</v>
      </c>
      <c r="H322" s="21" t="s">
        <v>19</v>
      </c>
      <c r="I322" s="21" t="s">
        <v>55</v>
      </c>
      <c r="J322" s="21">
        <v>16.139006125016159</v>
      </c>
      <c r="K322" s="21">
        <v>87.453112279940953</v>
      </c>
      <c r="L322" s="21" t="s">
        <v>16</v>
      </c>
      <c r="M322" s="12" t="s">
        <v>17</v>
      </c>
      <c r="N322" s="11"/>
    </row>
    <row r="323" spans="1:14" x14ac:dyDescent="0.3">
      <c r="A323" s="20" t="s">
        <v>394</v>
      </c>
      <c r="B323" s="21">
        <v>102256</v>
      </c>
      <c r="C323" s="21">
        <v>2478</v>
      </c>
      <c r="D323" s="21">
        <v>721</v>
      </c>
      <c r="E323" s="21">
        <v>511009</v>
      </c>
      <c r="F323" s="21">
        <v>555120</v>
      </c>
      <c r="G323" s="21">
        <v>5</v>
      </c>
      <c r="H323" s="21" t="s">
        <v>45</v>
      </c>
      <c r="I323" s="21" t="s">
        <v>72</v>
      </c>
      <c r="J323" s="21">
        <v>29.079956188389922</v>
      </c>
      <c r="K323" s="21">
        <v>92.053790171494455</v>
      </c>
      <c r="L323" s="21" t="s">
        <v>16</v>
      </c>
      <c r="M323" s="12" t="s">
        <v>17</v>
      </c>
      <c r="N323" s="11"/>
    </row>
    <row r="324" spans="1:14" x14ac:dyDescent="0.3">
      <c r="A324" s="20" t="s">
        <v>395</v>
      </c>
      <c r="B324" s="21">
        <v>87066</v>
      </c>
      <c r="C324" s="21">
        <v>362</v>
      </c>
      <c r="D324" s="21">
        <v>615</v>
      </c>
      <c r="E324" s="21">
        <v>966984</v>
      </c>
      <c r="F324" s="21">
        <v>228524</v>
      </c>
      <c r="G324" s="21">
        <v>1</v>
      </c>
      <c r="H324" s="21" t="s">
        <v>32</v>
      </c>
      <c r="I324" s="21" t="s">
        <v>86</v>
      </c>
      <c r="J324" s="21">
        <v>4.9893184480738748</v>
      </c>
      <c r="K324" s="21">
        <v>423.14330223521381</v>
      </c>
      <c r="L324" s="21" t="s">
        <v>27</v>
      </c>
      <c r="M324" s="12" t="s">
        <v>28</v>
      </c>
      <c r="N324" s="11"/>
    </row>
    <row r="325" spans="1:14" x14ac:dyDescent="0.3">
      <c r="A325" s="20" t="s">
        <v>396</v>
      </c>
      <c r="B325" s="21">
        <v>87474</v>
      </c>
      <c r="C325" s="21">
        <v>2625</v>
      </c>
      <c r="D325" s="21">
        <v>683</v>
      </c>
      <c r="E325" s="21">
        <v>766617</v>
      </c>
      <c r="F325" s="21">
        <v>535720</v>
      </c>
      <c r="G325" s="21">
        <v>4</v>
      </c>
      <c r="H325" s="21" t="s">
        <v>45</v>
      </c>
      <c r="I325" s="21" t="s">
        <v>61</v>
      </c>
      <c r="J325" s="21">
        <v>36.010700322381503</v>
      </c>
      <c r="K325" s="21">
        <v>143.10031359665501</v>
      </c>
      <c r="L325" s="21" t="s">
        <v>16</v>
      </c>
      <c r="M325" s="12" t="s">
        <v>17</v>
      </c>
      <c r="N325" s="11"/>
    </row>
    <row r="326" spans="1:14" x14ac:dyDescent="0.3">
      <c r="A326" s="20" t="s">
        <v>397</v>
      </c>
      <c r="B326" s="21">
        <v>118381</v>
      </c>
      <c r="C326" s="21">
        <v>2250</v>
      </c>
      <c r="D326" s="21">
        <v>759</v>
      </c>
      <c r="E326" s="21">
        <v>306453</v>
      </c>
      <c r="F326" s="21">
        <v>423266</v>
      </c>
      <c r="G326" s="21">
        <v>5</v>
      </c>
      <c r="H326" s="21" t="s">
        <v>45</v>
      </c>
      <c r="I326" s="21" t="s">
        <v>105</v>
      </c>
      <c r="J326" s="21">
        <v>22.807714075738499</v>
      </c>
      <c r="K326" s="21">
        <v>72.401988347752962</v>
      </c>
      <c r="L326" s="21" t="s">
        <v>24</v>
      </c>
      <c r="M326" s="12" t="s">
        <v>21</v>
      </c>
      <c r="N326" s="11"/>
    </row>
    <row r="327" spans="1:14" x14ac:dyDescent="0.3">
      <c r="A327" s="20" t="s">
        <v>398</v>
      </c>
      <c r="B327" s="21">
        <v>99887</v>
      </c>
      <c r="C327" s="21">
        <v>369</v>
      </c>
      <c r="D327" s="21">
        <v>538</v>
      </c>
      <c r="E327" s="21">
        <v>909057</v>
      </c>
      <c r="F327" s="21">
        <v>721042</v>
      </c>
      <c r="G327" s="21">
        <v>8</v>
      </c>
      <c r="H327" s="21" t="s">
        <v>32</v>
      </c>
      <c r="I327" s="21" t="s">
        <v>84</v>
      </c>
      <c r="J327" s="21">
        <v>4.4330093005095756</v>
      </c>
      <c r="K327" s="21">
        <v>126.0754574629495</v>
      </c>
      <c r="L327" s="21" t="s">
        <v>27</v>
      </c>
      <c r="M327" s="12" t="s">
        <v>28</v>
      </c>
      <c r="N327" s="11"/>
    </row>
    <row r="328" spans="1:14" x14ac:dyDescent="0.3">
      <c r="A328" s="20" t="s">
        <v>399</v>
      </c>
      <c r="B328" s="21">
        <v>72979</v>
      </c>
      <c r="C328" s="21">
        <v>388</v>
      </c>
      <c r="D328" s="21">
        <v>651</v>
      </c>
      <c r="E328" s="21">
        <v>400054</v>
      </c>
      <c r="F328" s="21">
        <v>603444</v>
      </c>
      <c r="G328" s="21">
        <v>11</v>
      </c>
      <c r="H328" s="21" t="s">
        <v>45</v>
      </c>
      <c r="I328" s="21" t="s">
        <v>77</v>
      </c>
      <c r="J328" s="21">
        <v>6.3799175105167247</v>
      </c>
      <c r="K328" s="21">
        <v>66.295132605511029</v>
      </c>
      <c r="L328" s="21" t="s">
        <v>16</v>
      </c>
      <c r="M328" s="12" t="s">
        <v>17</v>
      </c>
      <c r="N328" s="11"/>
    </row>
    <row r="329" spans="1:14" x14ac:dyDescent="0.3">
      <c r="A329" s="20" t="s">
        <v>400</v>
      </c>
      <c r="B329" s="21">
        <v>114061</v>
      </c>
      <c r="C329" s="21">
        <v>1989</v>
      </c>
      <c r="D329" s="21">
        <v>758</v>
      </c>
      <c r="E329" s="21">
        <v>472367</v>
      </c>
      <c r="F329" s="21">
        <v>722135</v>
      </c>
      <c r="G329" s="21">
        <v>9</v>
      </c>
      <c r="H329" s="21" t="s">
        <v>14</v>
      </c>
      <c r="I329" s="21" t="s">
        <v>30</v>
      </c>
      <c r="J329" s="21">
        <v>20.92564504957873</v>
      </c>
      <c r="K329" s="21">
        <v>65.412561363180004</v>
      </c>
      <c r="L329" s="21" t="s">
        <v>24</v>
      </c>
      <c r="M329" s="12" t="s">
        <v>21</v>
      </c>
      <c r="N329" s="11"/>
    </row>
    <row r="330" spans="1:14" x14ac:dyDescent="0.3">
      <c r="A330" s="20" t="s">
        <v>401</v>
      </c>
      <c r="B330" s="21">
        <v>112119</v>
      </c>
      <c r="C330" s="21">
        <v>1455</v>
      </c>
      <c r="D330" s="21">
        <v>655</v>
      </c>
      <c r="E330" s="21">
        <v>843878</v>
      </c>
      <c r="F330" s="21">
        <v>634971</v>
      </c>
      <c r="G330" s="21">
        <v>10</v>
      </c>
      <c r="H330" s="21" t="s">
        <v>45</v>
      </c>
      <c r="I330" s="21" t="s">
        <v>125</v>
      </c>
      <c r="J330" s="21">
        <v>15.57273967837744</v>
      </c>
      <c r="K330" s="21">
        <v>132.9002426882488</v>
      </c>
      <c r="L330" s="21" t="s">
        <v>16</v>
      </c>
      <c r="M330" s="12" t="s">
        <v>17</v>
      </c>
      <c r="N330" s="11"/>
    </row>
    <row r="331" spans="1:14" x14ac:dyDescent="0.3">
      <c r="A331" s="20" t="s">
        <v>402</v>
      </c>
      <c r="B331" s="21">
        <v>89972</v>
      </c>
      <c r="C331" s="21">
        <v>699</v>
      </c>
      <c r="D331" s="21">
        <v>651</v>
      </c>
      <c r="E331" s="21">
        <v>879992</v>
      </c>
      <c r="F331" s="21">
        <v>840072</v>
      </c>
      <c r="G331" s="21">
        <v>12</v>
      </c>
      <c r="H331" s="21" t="s">
        <v>45</v>
      </c>
      <c r="I331" s="21" t="s">
        <v>204</v>
      </c>
      <c r="J331" s="21">
        <v>9.322900457920241</v>
      </c>
      <c r="K331" s="21">
        <v>104.75197364035461</v>
      </c>
      <c r="L331" s="21" t="s">
        <v>16</v>
      </c>
      <c r="M331" s="12" t="s">
        <v>17</v>
      </c>
      <c r="N331" s="11"/>
    </row>
    <row r="332" spans="1:14" x14ac:dyDescent="0.3">
      <c r="A332" s="20" t="s">
        <v>403</v>
      </c>
      <c r="B332" s="21">
        <v>98995</v>
      </c>
      <c r="C332" s="21">
        <v>1903</v>
      </c>
      <c r="D332" s="21">
        <v>752</v>
      </c>
      <c r="E332" s="21">
        <v>761144</v>
      </c>
      <c r="F332" s="21">
        <v>217467</v>
      </c>
      <c r="G332" s="21">
        <v>7</v>
      </c>
      <c r="H332" s="21" t="s">
        <v>19</v>
      </c>
      <c r="I332" s="21" t="s">
        <v>63</v>
      </c>
      <c r="J332" s="21">
        <v>23.067831708672159</v>
      </c>
      <c r="K332" s="21">
        <v>350.00436847889563</v>
      </c>
      <c r="L332" s="21" t="s">
        <v>24</v>
      </c>
      <c r="M332" s="12" t="s">
        <v>17</v>
      </c>
      <c r="N332" s="11"/>
    </row>
    <row r="333" spans="1:14" x14ac:dyDescent="0.3">
      <c r="A333" s="20" t="s">
        <v>404</v>
      </c>
      <c r="B333" s="21">
        <v>74055</v>
      </c>
      <c r="C333" s="21">
        <v>543</v>
      </c>
      <c r="D333" s="21">
        <v>656</v>
      </c>
      <c r="E333" s="21">
        <v>237595</v>
      </c>
      <c r="F333" s="21">
        <v>748279</v>
      </c>
      <c r="G333" s="21">
        <v>2</v>
      </c>
      <c r="H333" s="21" t="s">
        <v>45</v>
      </c>
      <c r="I333" s="21" t="s">
        <v>96</v>
      </c>
      <c r="J333" s="21">
        <v>8.7988657079197896</v>
      </c>
      <c r="K333" s="21">
        <v>31.752194034578011</v>
      </c>
      <c r="L333" s="21" t="s">
        <v>16</v>
      </c>
      <c r="M333" s="12" t="s">
        <v>17</v>
      </c>
      <c r="N333" s="11"/>
    </row>
    <row r="334" spans="1:14" x14ac:dyDescent="0.3">
      <c r="A334" s="20" t="s">
        <v>405</v>
      </c>
      <c r="B334" s="21">
        <v>117265</v>
      </c>
      <c r="C334" s="21">
        <v>1326</v>
      </c>
      <c r="D334" s="21">
        <v>678</v>
      </c>
      <c r="E334" s="21">
        <v>876954</v>
      </c>
      <c r="F334" s="21">
        <v>922813</v>
      </c>
      <c r="G334" s="21">
        <v>11</v>
      </c>
      <c r="H334" s="21" t="s">
        <v>14</v>
      </c>
      <c r="I334" s="21" t="s">
        <v>15</v>
      </c>
      <c r="J334" s="21">
        <v>13.569266191958381</v>
      </c>
      <c r="K334" s="21">
        <v>95.030520809741517</v>
      </c>
      <c r="L334" s="21" t="s">
        <v>16</v>
      </c>
      <c r="M334" s="12" t="s">
        <v>17</v>
      </c>
      <c r="N334" s="11"/>
    </row>
    <row r="335" spans="1:14" x14ac:dyDescent="0.3">
      <c r="A335" s="20" t="s">
        <v>406</v>
      </c>
      <c r="B335" s="21">
        <v>118945</v>
      </c>
      <c r="C335" s="21">
        <v>2922</v>
      </c>
      <c r="D335" s="21">
        <v>842</v>
      </c>
      <c r="E335" s="21">
        <v>556828</v>
      </c>
      <c r="F335" s="21">
        <v>294158</v>
      </c>
      <c r="G335" s="21">
        <v>3</v>
      </c>
      <c r="H335" s="21" t="s">
        <v>19</v>
      </c>
      <c r="I335" s="21" t="s">
        <v>99</v>
      </c>
      <c r="J335" s="21">
        <v>29.47917104544117</v>
      </c>
      <c r="K335" s="21">
        <v>189.2955486507251</v>
      </c>
      <c r="L335" s="21" t="s">
        <v>24</v>
      </c>
      <c r="M335" s="12" t="s">
        <v>17</v>
      </c>
      <c r="N335" s="11"/>
    </row>
    <row r="336" spans="1:14" x14ac:dyDescent="0.3">
      <c r="A336" s="20" t="s">
        <v>407</v>
      </c>
      <c r="B336" s="21">
        <v>76039</v>
      </c>
      <c r="C336" s="21">
        <v>1308</v>
      </c>
      <c r="D336" s="21">
        <v>781</v>
      </c>
      <c r="E336" s="21">
        <v>396712</v>
      </c>
      <c r="F336" s="21">
        <v>236256</v>
      </c>
      <c r="G336" s="21">
        <v>12</v>
      </c>
      <c r="H336" s="21" t="s">
        <v>14</v>
      </c>
      <c r="I336" s="21" t="s">
        <v>84</v>
      </c>
      <c r="J336" s="21">
        <v>20.642038953694819</v>
      </c>
      <c r="K336" s="21">
        <v>167.91615874305839</v>
      </c>
      <c r="L336" s="21" t="s">
        <v>24</v>
      </c>
      <c r="M336" s="12" t="s">
        <v>17</v>
      </c>
      <c r="N336" s="11"/>
    </row>
    <row r="337" spans="1:14" x14ac:dyDescent="0.3">
      <c r="A337" s="20" t="s">
        <v>408</v>
      </c>
      <c r="B337" s="21">
        <v>89170</v>
      </c>
      <c r="C337" s="21">
        <v>2159</v>
      </c>
      <c r="D337" s="21">
        <v>459</v>
      </c>
      <c r="E337" s="21">
        <v>550558</v>
      </c>
      <c r="F337" s="21">
        <v>992338</v>
      </c>
      <c r="G337" s="21">
        <v>1</v>
      </c>
      <c r="H337" s="21" t="s">
        <v>45</v>
      </c>
      <c r="I337" s="21" t="s">
        <v>15</v>
      </c>
      <c r="J337" s="21">
        <v>29.054614780755859</v>
      </c>
      <c r="K337" s="21">
        <v>55.480894614536581</v>
      </c>
      <c r="L337" s="21" t="s">
        <v>27</v>
      </c>
      <c r="M337" s="12" t="s">
        <v>28</v>
      </c>
      <c r="N337" s="11"/>
    </row>
    <row r="338" spans="1:14" x14ac:dyDescent="0.3">
      <c r="A338" s="20" t="s">
        <v>409</v>
      </c>
      <c r="B338" s="21">
        <v>81626</v>
      </c>
      <c r="C338" s="21">
        <v>2904</v>
      </c>
      <c r="D338" s="21">
        <v>561</v>
      </c>
      <c r="E338" s="21">
        <v>557972</v>
      </c>
      <c r="F338" s="21">
        <v>317002</v>
      </c>
      <c r="G338" s="21">
        <v>3</v>
      </c>
      <c r="H338" s="21" t="s">
        <v>14</v>
      </c>
      <c r="I338" s="21" t="s">
        <v>37</v>
      </c>
      <c r="J338" s="21">
        <v>42.692279420772792</v>
      </c>
      <c r="K338" s="21">
        <v>176.01529327890671</v>
      </c>
      <c r="L338" s="21" t="s">
        <v>27</v>
      </c>
      <c r="M338" s="12" t="s">
        <v>28</v>
      </c>
      <c r="N338" s="11"/>
    </row>
    <row r="339" spans="1:14" x14ac:dyDescent="0.3">
      <c r="A339" s="20" t="s">
        <v>410</v>
      </c>
      <c r="B339" s="21">
        <v>114150</v>
      </c>
      <c r="C339" s="21">
        <v>353</v>
      </c>
      <c r="D339" s="21">
        <v>686</v>
      </c>
      <c r="E339" s="21">
        <v>282867</v>
      </c>
      <c r="F339" s="21">
        <v>947947</v>
      </c>
      <c r="G339" s="21">
        <v>3</v>
      </c>
      <c r="H339" s="21" t="s">
        <v>45</v>
      </c>
      <c r="I339" s="21" t="s">
        <v>105</v>
      </c>
      <c r="J339" s="21">
        <v>3.7109067017082791</v>
      </c>
      <c r="K339" s="21">
        <v>29.839959407013261</v>
      </c>
      <c r="L339" s="21" t="s">
        <v>16</v>
      </c>
      <c r="M339" s="12" t="s">
        <v>17</v>
      </c>
      <c r="N339" s="11"/>
    </row>
    <row r="340" spans="1:14" x14ac:dyDescent="0.3">
      <c r="A340" s="20" t="s">
        <v>411</v>
      </c>
      <c r="B340" s="21">
        <v>114457</v>
      </c>
      <c r="C340" s="21">
        <v>2472</v>
      </c>
      <c r="D340" s="21">
        <v>547</v>
      </c>
      <c r="E340" s="21">
        <v>321750</v>
      </c>
      <c r="F340" s="21">
        <v>888383</v>
      </c>
      <c r="G340" s="21">
        <v>3</v>
      </c>
      <c r="H340" s="21" t="s">
        <v>14</v>
      </c>
      <c r="I340" s="21" t="s">
        <v>122</v>
      </c>
      <c r="J340" s="21">
        <v>25.917156661453649</v>
      </c>
      <c r="K340" s="21">
        <v>36.217487277446772</v>
      </c>
      <c r="L340" s="21" t="s">
        <v>27</v>
      </c>
      <c r="M340" s="12" t="s">
        <v>28</v>
      </c>
      <c r="N340" s="11"/>
    </row>
    <row r="341" spans="1:14" x14ac:dyDescent="0.3">
      <c r="A341" s="20" t="s">
        <v>412</v>
      </c>
      <c r="B341" s="21">
        <v>86633</v>
      </c>
      <c r="C341" s="21">
        <v>319</v>
      </c>
      <c r="D341" s="21">
        <v>594</v>
      </c>
      <c r="E341" s="21">
        <v>332621</v>
      </c>
      <c r="F341" s="21">
        <v>442575</v>
      </c>
      <c r="G341" s="21">
        <v>9</v>
      </c>
      <c r="H341" s="21" t="s">
        <v>32</v>
      </c>
      <c r="I341" s="21" t="s">
        <v>120</v>
      </c>
      <c r="J341" s="21">
        <v>4.4186395484399714</v>
      </c>
      <c r="K341" s="21">
        <v>75.155849291080614</v>
      </c>
      <c r="L341" s="21" t="s">
        <v>27</v>
      </c>
      <c r="M341" s="12" t="s">
        <v>28</v>
      </c>
      <c r="N341" s="11"/>
    </row>
    <row r="342" spans="1:14" x14ac:dyDescent="0.3">
      <c r="A342" s="20" t="s">
        <v>413</v>
      </c>
      <c r="B342" s="21">
        <v>83783</v>
      </c>
      <c r="C342" s="21">
        <v>1900</v>
      </c>
      <c r="D342" s="21">
        <v>542</v>
      </c>
      <c r="E342" s="21">
        <v>703134</v>
      </c>
      <c r="F342" s="21">
        <v>691585</v>
      </c>
      <c r="G342" s="21">
        <v>10</v>
      </c>
      <c r="H342" s="21" t="s">
        <v>45</v>
      </c>
      <c r="I342" s="21" t="s">
        <v>51</v>
      </c>
      <c r="J342" s="21">
        <v>27.213157800508451</v>
      </c>
      <c r="K342" s="21">
        <v>101.6699321124663</v>
      </c>
      <c r="L342" s="21" t="s">
        <v>27</v>
      </c>
      <c r="M342" s="12" t="s">
        <v>28</v>
      </c>
      <c r="N342" s="11"/>
    </row>
    <row r="343" spans="1:14" x14ac:dyDescent="0.3">
      <c r="A343" s="20" t="s">
        <v>414</v>
      </c>
      <c r="B343" s="21">
        <v>113756</v>
      </c>
      <c r="C343" s="21">
        <v>1237</v>
      </c>
      <c r="D343" s="21">
        <v>628</v>
      </c>
      <c r="E343" s="21">
        <v>172987</v>
      </c>
      <c r="F343" s="21">
        <v>774883</v>
      </c>
      <c r="G343" s="21">
        <v>6</v>
      </c>
      <c r="H343" s="21" t="s">
        <v>14</v>
      </c>
      <c r="I343" s="21" t="s">
        <v>145</v>
      </c>
      <c r="J343" s="21">
        <v>13.04898203171701</v>
      </c>
      <c r="K343" s="21">
        <v>22.324273470962709</v>
      </c>
      <c r="L343" s="21" t="s">
        <v>27</v>
      </c>
      <c r="M343" s="12" t="s">
        <v>28</v>
      </c>
      <c r="N343" s="11"/>
    </row>
    <row r="344" spans="1:14" x14ac:dyDescent="0.3">
      <c r="A344" s="20" t="s">
        <v>415</v>
      </c>
      <c r="B344" s="21">
        <v>99600</v>
      </c>
      <c r="C344" s="21">
        <v>545</v>
      </c>
      <c r="D344" s="21">
        <v>562</v>
      </c>
      <c r="E344" s="21">
        <v>738105</v>
      </c>
      <c r="F344" s="21">
        <v>789892</v>
      </c>
      <c r="G344" s="21">
        <v>2</v>
      </c>
      <c r="H344" s="21" t="s">
        <v>32</v>
      </c>
      <c r="I344" s="21" t="s">
        <v>20</v>
      </c>
      <c r="J344" s="21">
        <v>6.5662650602409638</v>
      </c>
      <c r="K344" s="21">
        <v>93.443787251928114</v>
      </c>
      <c r="L344" s="21" t="s">
        <v>27</v>
      </c>
      <c r="M344" s="12" t="s">
        <v>28</v>
      </c>
      <c r="N344" s="11"/>
    </row>
    <row r="345" spans="1:14" x14ac:dyDescent="0.3">
      <c r="A345" s="20" t="s">
        <v>416</v>
      </c>
      <c r="B345" s="21">
        <v>105009</v>
      </c>
      <c r="C345" s="21">
        <v>1461</v>
      </c>
      <c r="D345" s="21">
        <v>844</v>
      </c>
      <c r="E345" s="21">
        <v>257975</v>
      </c>
      <c r="F345" s="21">
        <v>790772</v>
      </c>
      <c r="G345" s="21">
        <v>8</v>
      </c>
      <c r="H345" s="21" t="s">
        <v>19</v>
      </c>
      <c r="I345" s="21" t="s">
        <v>66</v>
      </c>
      <c r="J345" s="21">
        <v>16.695711796131761</v>
      </c>
      <c r="K345" s="21">
        <v>32.623183420758451</v>
      </c>
      <c r="L345" s="21" t="s">
        <v>24</v>
      </c>
      <c r="M345" s="12" t="s">
        <v>21</v>
      </c>
      <c r="N345" s="11"/>
    </row>
    <row r="346" spans="1:14" x14ac:dyDescent="0.3">
      <c r="A346" s="20" t="s">
        <v>417</v>
      </c>
      <c r="B346" s="21">
        <v>75217</v>
      </c>
      <c r="C346" s="21">
        <v>1002</v>
      </c>
      <c r="D346" s="21">
        <v>568</v>
      </c>
      <c r="E346" s="21">
        <v>740356</v>
      </c>
      <c r="F346" s="21">
        <v>581589</v>
      </c>
      <c r="G346" s="21">
        <v>7</v>
      </c>
      <c r="H346" s="21" t="s">
        <v>19</v>
      </c>
      <c r="I346" s="21" t="s">
        <v>39</v>
      </c>
      <c r="J346" s="21">
        <v>15.985747902734751</v>
      </c>
      <c r="K346" s="21">
        <v>127.29883130526881</v>
      </c>
      <c r="L346" s="21" t="s">
        <v>27</v>
      </c>
      <c r="M346" s="12" t="s">
        <v>28</v>
      </c>
      <c r="N346" s="11"/>
    </row>
    <row r="347" spans="1:14" x14ac:dyDescent="0.3">
      <c r="A347" s="20" t="s">
        <v>418</v>
      </c>
      <c r="B347" s="21">
        <v>118860</v>
      </c>
      <c r="C347" s="21">
        <v>1301</v>
      </c>
      <c r="D347" s="21">
        <v>602</v>
      </c>
      <c r="E347" s="21">
        <v>482311</v>
      </c>
      <c r="F347" s="21">
        <v>247587</v>
      </c>
      <c r="G347" s="21">
        <v>12</v>
      </c>
      <c r="H347" s="21" t="s">
        <v>14</v>
      </c>
      <c r="I347" s="21" t="s">
        <v>33</v>
      </c>
      <c r="J347" s="21">
        <v>13.13478041393236</v>
      </c>
      <c r="K347" s="21">
        <v>194.80465452547989</v>
      </c>
      <c r="L347" s="21" t="s">
        <v>27</v>
      </c>
      <c r="M347" s="12" t="s">
        <v>28</v>
      </c>
      <c r="N347" s="11"/>
    </row>
    <row r="348" spans="1:14" x14ac:dyDescent="0.3">
      <c r="A348" s="20" t="s">
        <v>419</v>
      </c>
      <c r="B348" s="21">
        <v>84100</v>
      </c>
      <c r="C348" s="21">
        <v>2266</v>
      </c>
      <c r="D348" s="21">
        <v>740</v>
      </c>
      <c r="E348" s="21">
        <v>299982</v>
      </c>
      <c r="F348" s="21">
        <v>848870</v>
      </c>
      <c r="G348" s="21">
        <v>4</v>
      </c>
      <c r="H348" s="21" t="s">
        <v>14</v>
      </c>
      <c r="I348" s="21" t="s">
        <v>99</v>
      </c>
      <c r="J348" s="21">
        <v>32.33293697978597</v>
      </c>
      <c r="K348" s="21">
        <v>35.338980055838938</v>
      </c>
      <c r="L348" s="21" t="s">
        <v>16</v>
      </c>
      <c r="M348" s="12" t="s">
        <v>21</v>
      </c>
      <c r="N348" s="11"/>
    </row>
    <row r="349" spans="1:14" x14ac:dyDescent="0.3">
      <c r="A349" s="20" t="s">
        <v>420</v>
      </c>
      <c r="B349" s="21">
        <v>97956</v>
      </c>
      <c r="C349" s="21">
        <v>2256</v>
      </c>
      <c r="D349" s="21">
        <v>842</v>
      </c>
      <c r="E349" s="21">
        <v>971932</v>
      </c>
      <c r="F349" s="21">
        <v>985938</v>
      </c>
      <c r="G349" s="21">
        <v>5</v>
      </c>
      <c r="H349" s="21" t="s">
        <v>14</v>
      </c>
      <c r="I349" s="21" t="s">
        <v>172</v>
      </c>
      <c r="J349" s="21">
        <v>27.636898199191471</v>
      </c>
      <c r="K349" s="21">
        <v>98.579423858295343</v>
      </c>
      <c r="L349" s="21" t="s">
        <v>24</v>
      </c>
      <c r="M349" s="12" t="s">
        <v>17</v>
      </c>
      <c r="N349" s="11"/>
    </row>
    <row r="350" spans="1:14" x14ac:dyDescent="0.3">
      <c r="A350" s="20" t="s">
        <v>421</v>
      </c>
      <c r="B350" s="21">
        <v>89495</v>
      </c>
      <c r="C350" s="21">
        <v>1887</v>
      </c>
      <c r="D350" s="21">
        <v>509</v>
      </c>
      <c r="E350" s="21">
        <v>611905</v>
      </c>
      <c r="F350" s="21">
        <v>850958</v>
      </c>
      <c r="G350" s="21">
        <v>9</v>
      </c>
      <c r="H350" s="21" t="s">
        <v>45</v>
      </c>
      <c r="I350" s="21" t="s">
        <v>113</v>
      </c>
      <c r="J350" s="21">
        <v>25.301972177216602</v>
      </c>
      <c r="K350" s="21">
        <v>71.907779232347551</v>
      </c>
      <c r="L350" s="21" t="s">
        <v>27</v>
      </c>
      <c r="M350" s="12" t="s">
        <v>28</v>
      </c>
      <c r="N350" s="11"/>
    </row>
    <row r="351" spans="1:14" x14ac:dyDescent="0.3">
      <c r="A351" s="20" t="s">
        <v>422</v>
      </c>
      <c r="B351" s="21">
        <v>92407</v>
      </c>
      <c r="C351" s="21">
        <v>1866</v>
      </c>
      <c r="D351" s="21">
        <v>722</v>
      </c>
      <c r="E351" s="21">
        <v>584304</v>
      </c>
      <c r="F351" s="21">
        <v>683431</v>
      </c>
      <c r="G351" s="21">
        <v>4</v>
      </c>
      <c r="H351" s="21" t="s">
        <v>19</v>
      </c>
      <c r="I351" s="21" t="s">
        <v>113</v>
      </c>
      <c r="J351" s="21">
        <v>24.231930481457031</v>
      </c>
      <c r="K351" s="21">
        <v>85.495682812163921</v>
      </c>
      <c r="L351" s="21" t="s">
        <v>16</v>
      </c>
      <c r="M351" s="12" t="s">
        <v>17</v>
      </c>
      <c r="N351" s="11"/>
    </row>
    <row r="352" spans="1:14" x14ac:dyDescent="0.3">
      <c r="A352" s="20" t="s">
        <v>423</v>
      </c>
      <c r="B352" s="21">
        <v>89663</v>
      </c>
      <c r="C352" s="21">
        <v>2699</v>
      </c>
      <c r="D352" s="21">
        <v>814</v>
      </c>
      <c r="E352" s="21">
        <v>216856</v>
      </c>
      <c r="F352" s="21">
        <v>658868</v>
      </c>
      <c r="G352" s="21">
        <v>1</v>
      </c>
      <c r="H352" s="21" t="s">
        <v>14</v>
      </c>
      <c r="I352" s="21" t="s">
        <v>20</v>
      </c>
      <c r="J352" s="21">
        <v>36.121923201320499</v>
      </c>
      <c r="K352" s="21">
        <v>32.913421201211783</v>
      </c>
      <c r="L352" s="21" t="s">
        <v>24</v>
      </c>
      <c r="M352" s="12" t="s">
        <v>21</v>
      </c>
      <c r="N352" s="11"/>
    </row>
    <row r="353" spans="1:14" x14ac:dyDescent="0.3">
      <c r="A353" s="20" t="s">
        <v>424</v>
      </c>
      <c r="B353" s="21">
        <v>109067</v>
      </c>
      <c r="C353" s="21">
        <v>2944</v>
      </c>
      <c r="D353" s="21">
        <v>560</v>
      </c>
      <c r="E353" s="21">
        <v>625321</v>
      </c>
      <c r="F353" s="21">
        <v>672983</v>
      </c>
      <c r="G353" s="21">
        <v>9</v>
      </c>
      <c r="H353" s="21" t="s">
        <v>45</v>
      </c>
      <c r="I353" s="21" t="s">
        <v>39</v>
      </c>
      <c r="J353" s="21">
        <v>32.391099049208293</v>
      </c>
      <c r="K353" s="21">
        <v>92.91780030104772</v>
      </c>
      <c r="L353" s="21" t="s">
        <v>27</v>
      </c>
      <c r="M353" s="12" t="s">
        <v>28</v>
      </c>
      <c r="N353" s="11"/>
    </row>
    <row r="354" spans="1:14" x14ac:dyDescent="0.3">
      <c r="A354" s="20" t="s">
        <v>425</v>
      </c>
      <c r="B354" s="21">
        <v>116435</v>
      </c>
      <c r="C354" s="21">
        <v>900</v>
      </c>
      <c r="D354" s="21">
        <v>536</v>
      </c>
      <c r="E354" s="21">
        <v>338110</v>
      </c>
      <c r="F354" s="21">
        <v>580111</v>
      </c>
      <c r="G354" s="21">
        <v>11</v>
      </c>
      <c r="H354" s="21" t="s">
        <v>19</v>
      </c>
      <c r="I354" s="21" t="s">
        <v>23</v>
      </c>
      <c r="J354" s="21">
        <v>9.2755614720659594</v>
      </c>
      <c r="K354" s="21">
        <v>58.283673297006963</v>
      </c>
      <c r="L354" s="21" t="s">
        <v>27</v>
      </c>
      <c r="M354" s="12" t="s">
        <v>28</v>
      </c>
      <c r="N354" s="11"/>
    </row>
    <row r="355" spans="1:14" x14ac:dyDescent="0.3">
      <c r="A355" s="20" t="s">
        <v>426</v>
      </c>
      <c r="B355" s="21">
        <v>107020</v>
      </c>
      <c r="C355" s="21">
        <v>2995</v>
      </c>
      <c r="D355" s="21">
        <v>626</v>
      </c>
      <c r="E355" s="21">
        <v>422792</v>
      </c>
      <c r="F355" s="21">
        <v>616123</v>
      </c>
      <c r="G355" s="21">
        <v>9</v>
      </c>
      <c r="H355" s="21" t="s">
        <v>14</v>
      </c>
      <c r="I355" s="21" t="s">
        <v>178</v>
      </c>
      <c r="J355" s="21">
        <v>33.582507942440657</v>
      </c>
      <c r="K355" s="21">
        <v>68.621362942139797</v>
      </c>
      <c r="L355" s="21" t="s">
        <v>27</v>
      </c>
      <c r="M355" s="12" t="s">
        <v>28</v>
      </c>
      <c r="N355" s="11"/>
    </row>
    <row r="356" spans="1:14" x14ac:dyDescent="0.3">
      <c r="A356" s="20" t="s">
        <v>427</v>
      </c>
      <c r="B356" s="21">
        <v>85128</v>
      </c>
      <c r="C356" s="21">
        <v>1167</v>
      </c>
      <c r="D356" s="21">
        <v>505</v>
      </c>
      <c r="E356" s="21">
        <v>719817</v>
      </c>
      <c r="F356" s="21">
        <v>248688</v>
      </c>
      <c r="G356" s="21">
        <v>8</v>
      </c>
      <c r="H356" s="21" t="s">
        <v>19</v>
      </c>
      <c r="I356" s="21" t="s">
        <v>20</v>
      </c>
      <c r="J356" s="21">
        <v>16.45052156752185</v>
      </c>
      <c r="K356" s="21">
        <v>289.4458116193785</v>
      </c>
      <c r="L356" s="21" t="s">
        <v>27</v>
      </c>
      <c r="M356" s="12" t="s">
        <v>28</v>
      </c>
      <c r="N356" s="11"/>
    </row>
    <row r="357" spans="1:14" x14ac:dyDescent="0.3">
      <c r="A357" s="20" t="s">
        <v>428</v>
      </c>
      <c r="B357" s="21">
        <v>82751</v>
      </c>
      <c r="C357" s="21">
        <v>2713</v>
      </c>
      <c r="D357" s="21">
        <v>802</v>
      </c>
      <c r="E357" s="21">
        <v>337764</v>
      </c>
      <c r="F357" s="21">
        <v>667228</v>
      </c>
      <c r="G357" s="21">
        <v>6</v>
      </c>
      <c r="H357" s="21" t="s">
        <v>45</v>
      </c>
      <c r="I357" s="21" t="s">
        <v>113</v>
      </c>
      <c r="J357" s="21">
        <v>39.342122753803579</v>
      </c>
      <c r="K357" s="21">
        <v>50.621976295958802</v>
      </c>
      <c r="L357" s="21" t="s">
        <v>24</v>
      </c>
      <c r="M357" s="12" t="s">
        <v>21</v>
      </c>
      <c r="N357" s="11"/>
    </row>
    <row r="358" spans="1:14" x14ac:dyDescent="0.3">
      <c r="A358" s="20" t="s">
        <v>429</v>
      </c>
      <c r="B358" s="21">
        <v>106512</v>
      </c>
      <c r="C358" s="21">
        <v>660</v>
      </c>
      <c r="D358" s="21">
        <v>740</v>
      </c>
      <c r="E358" s="21">
        <v>660235</v>
      </c>
      <c r="F358" s="21">
        <v>970391</v>
      </c>
      <c r="G358" s="21">
        <v>7</v>
      </c>
      <c r="H358" s="21" t="s">
        <v>19</v>
      </c>
      <c r="I358" s="21" t="s">
        <v>61</v>
      </c>
      <c r="J358" s="21">
        <v>7.4357818837314102</v>
      </c>
      <c r="K358" s="21">
        <v>68.038038275293161</v>
      </c>
      <c r="L358" s="21" t="s">
        <v>16</v>
      </c>
      <c r="M358" s="12" t="s">
        <v>21</v>
      </c>
      <c r="N358" s="11"/>
    </row>
    <row r="359" spans="1:14" x14ac:dyDescent="0.3">
      <c r="A359" s="20" t="s">
        <v>430</v>
      </c>
      <c r="B359" s="21">
        <v>80245</v>
      </c>
      <c r="C359" s="21">
        <v>1045</v>
      </c>
      <c r="D359" s="21">
        <v>805</v>
      </c>
      <c r="E359" s="21">
        <v>106496</v>
      </c>
      <c r="F359" s="21">
        <v>628544</v>
      </c>
      <c r="G359" s="21">
        <v>1</v>
      </c>
      <c r="H359" s="21" t="s">
        <v>19</v>
      </c>
      <c r="I359" s="21" t="s">
        <v>204</v>
      </c>
      <c r="J359" s="21">
        <v>15.62714187799863</v>
      </c>
      <c r="K359" s="21">
        <v>16.94328479788209</v>
      </c>
      <c r="L359" s="21" t="s">
        <v>24</v>
      </c>
      <c r="M359" s="12" t="s">
        <v>21</v>
      </c>
      <c r="N359" s="11"/>
    </row>
    <row r="360" spans="1:14" x14ac:dyDescent="0.3">
      <c r="A360" s="20" t="s">
        <v>431</v>
      </c>
      <c r="B360" s="21">
        <v>114734</v>
      </c>
      <c r="C360" s="21">
        <v>716</v>
      </c>
      <c r="D360" s="21">
        <v>769</v>
      </c>
      <c r="E360" s="21">
        <v>140269</v>
      </c>
      <c r="F360" s="21">
        <v>629314</v>
      </c>
      <c r="G360" s="21">
        <v>7</v>
      </c>
      <c r="H360" s="21" t="s">
        <v>45</v>
      </c>
      <c r="I360" s="21" t="s">
        <v>172</v>
      </c>
      <c r="J360" s="21">
        <v>7.488625865044364</v>
      </c>
      <c r="K360" s="21">
        <v>22.28919108743807</v>
      </c>
      <c r="L360" s="21" t="s">
        <v>24</v>
      </c>
      <c r="M360" s="12" t="s">
        <v>21</v>
      </c>
      <c r="N360" s="11"/>
    </row>
    <row r="361" spans="1:14" x14ac:dyDescent="0.3">
      <c r="A361" s="20" t="s">
        <v>432</v>
      </c>
      <c r="B361" s="21">
        <v>94401</v>
      </c>
      <c r="C361" s="21">
        <v>1113</v>
      </c>
      <c r="D361" s="21">
        <v>472</v>
      </c>
      <c r="E361" s="21">
        <v>602869</v>
      </c>
      <c r="F361" s="21">
        <v>495661</v>
      </c>
      <c r="G361" s="21">
        <v>1</v>
      </c>
      <c r="H361" s="21" t="s">
        <v>19</v>
      </c>
      <c r="I361" s="21" t="s">
        <v>77</v>
      </c>
      <c r="J361" s="21">
        <v>14.14815521022023</v>
      </c>
      <c r="K361" s="21">
        <v>121.6292990572185</v>
      </c>
      <c r="L361" s="21" t="s">
        <v>27</v>
      </c>
      <c r="M361" s="12" t="s">
        <v>28</v>
      </c>
      <c r="N361" s="11"/>
    </row>
    <row r="362" spans="1:14" x14ac:dyDescent="0.3">
      <c r="A362" s="20" t="s">
        <v>433</v>
      </c>
      <c r="B362" s="21">
        <v>93221</v>
      </c>
      <c r="C362" s="21">
        <v>2122</v>
      </c>
      <c r="D362" s="21">
        <v>837</v>
      </c>
      <c r="E362" s="21">
        <v>364587</v>
      </c>
      <c r="F362" s="21">
        <v>380893</v>
      </c>
      <c r="G362" s="21">
        <v>4</v>
      </c>
      <c r="H362" s="21" t="s">
        <v>14</v>
      </c>
      <c r="I362" s="21" t="s">
        <v>26</v>
      </c>
      <c r="J362" s="21">
        <v>27.315733579343711</v>
      </c>
      <c r="K362" s="21">
        <v>95.719007700325292</v>
      </c>
      <c r="L362" s="21" t="s">
        <v>24</v>
      </c>
      <c r="M362" s="12" t="s">
        <v>17</v>
      </c>
      <c r="N362" s="11"/>
    </row>
    <row r="363" spans="1:14" x14ac:dyDescent="0.3">
      <c r="A363" s="20" t="s">
        <v>434</v>
      </c>
      <c r="B363" s="21">
        <v>109849</v>
      </c>
      <c r="C363" s="21">
        <v>2749</v>
      </c>
      <c r="D363" s="21">
        <v>568</v>
      </c>
      <c r="E363" s="21">
        <v>701238</v>
      </c>
      <c r="F363" s="21">
        <v>572312</v>
      </c>
      <c r="G363" s="21">
        <v>10</v>
      </c>
      <c r="H363" s="21" t="s">
        <v>32</v>
      </c>
      <c r="I363" s="21" t="s">
        <v>72</v>
      </c>
      <c r="J363" s="21">
        <v>30.030314340594821</v>
      </c>
      <c r="K363" s="21">
        <v>122.52722291337589</v>
      </c>
      <c r="L363" s="21" t="s">
        <v>27</v>
      </c>
      <c r="M363" s="12" t="s">
        <v>28</v>
      </c>
      <c r="N363" s="11"/>
    </row>
    <row r="364" spans="1:14" x14ac:dyDescent="0.3">
      <c r="A364" s="20" t="s">
        <v>435</v>
      </c>
      <c r="B364" s="21">
        <v>84390</v>
      </c>
      <c r="C364" s="21">
        <v>2514</v>
      </c>
      <c r="D364" s="21">
        <v>707</v>
      </c>
      <c r="E364" s="21">
        <v>981579</v>
      </c>
      <c r="F364" s="21">
        <v>527119</v>
      </c>
      <c r="G364" s="21">
        <v>7</v>
      </c>
      <c r="H364" s="21" t="s">
        <v>45</v>
      </c>
      <c r="I364" s="21" t="s">
        <v>140</v>
      </c>
      <c r="J364" s="21">
        <v>35.748311411304662</v>
      </c>
      <c r="K364" s="21">
        <v>186.2158260278988</v>
      </c>
      <c r="L364" s="21" t="s">
        <v>16</v>
      </c>
      <c r="M364" s="12" t="s">
        <v>17</v>
      </c>
      <c r="N364" s="11"/>
    </row>
    <row r="365" spans="1:14" x14ac:dyDescent="0.3">
      <c r="A365" s="20" t="s">
        <v>436</v>
      </c>
      <c r="B365" s="21">
        <v>100094</v>
      </c>
      <c r="C365" s="21">
        <v>1790</v>
      </c>
      <c r="D365" s="21">
        <v>702</v>
      </c>
      <c r="E365" s="21">
        <v>711756</v>
      </c>
      <c r="F365" s="21">
        <v>898318</v>
      </c>
      <c r="G365" s="21">
        <v>11</v>
      </c>
      <c r="H365" s="21" t="s">
        <v>45</v>
      </c>
      <c r="I365" s="21" t="s">
        <v>23</v>
      </c>
      <c r="J365" s="21">
        <v>21.45982776190381</v>
      </c>
      <c r="K365" s="21">
        <v>79.232075946379794</v>
      </c>
      <c r="L365" s="21" t="s">
        <v>16</v>
      </c>
      <c r="M365" s="12" t="s">
        <v>21</v>
      </c>
      <c r="N365" s="11"/>
    </row>
    <row r="366" spans="1:14" x14ac:dyDescent="0.3">
      <c r="A366" s="20" t="s">
        <v>437</v>
      </c>
      <c r="B366" s="21">
        <v>82137</v>
      </c>
      <c r="C366" s="21">
        <v>687</v>
      </c>
      <c r="D366" s="21">
        <v>466</v>
      </c>
      <c r="E366" s="21">
        <v>361271</v>
      </c>
      <c r="F366" s="21">
        <v>609669</v>
      </c>
      <c r="G366" s="21">
        <v>1</v>
      </c>
      <c r="H366" s="21" t="s">
        <v>45</v>
      </c>
      <c r="I366" s="21" t="s">
        <v>140</v>
      </c>
      <c r="J366" s="21">
        <v>10.03688958690968</v>
      </c>
      <c r="K366" s="21">
        <v>59.256908256775397</v>
      </c>
      <c r="L366" s="21" t="s">
        <v>27</v>
      </c>
      <c r="M366" s="12" t="s">
        <v>28</v>
      </c>
      <c r="N366" s="11"/>
    </row>
    <row r="367" spans="1:14" x14ac:dyDescent="0.3">
      <c r="A367" s="20" t="s">
        <v>438</v>
      </c>
      <c r="B367" s="21">
        <v>88984</v>
      </c>
      <c r="C367" s="21">
        <v>660</v>
      </c>
      <c r="D367" s="21">
        <v>807</v>
      </c>
      <c r="E367" s="21">
        <v>700069</v>
      </c>
      <c r="F367" s="21">
        <v>925346</v>
      </c>
      <c r="G367" s="21">
        <v>4</v>
      </c>
      <c r="H367" s="21" t="s">
        <v>19</v>
      </c>
      <c r="I367" s="21" t="s">
        <v>145</v>
      </c>
      <c r="J367" s="21">
        <v>8.9004764901555351</v>
      </c>
      <c r="K367" s="21">
        <v>75.654836136969308</v>
      </c>
      <c r="L367" s="21" t="s">
        <v>24</v>
      </c>
      <c r="M367" s="12" t="s">
        <v>21</v>
      </c>
      <c r="N367" s="11"/>
    </row>
    <row r="368" spans="1:14" x14ac:dyDescent="0.3">
      <c r="A368" s="20" t="s">
        <v>439</v>
      </c>
      <c r="B368" s="21">
        <v>101389</v>
      </c>
      <c r="C368" s="21">
        <v>2606</v>
      </c>
      <c r="D368" s="21">
        <v>651</v>
      </c>
      <c r="E368" s="21">
        <v>817473</v>
      </c>
      <c r="F368" s="21">
        <v>940032</v>
      </c>
      <c r="G368" s="21">
        <v>2</v>
      </c>
      <c r="H368" s="21" t="s">
        <v>14</v>
      </c>
      <c r="I368" s="21" t="s">
        <v>46</v>
      </c>
      <c r="J368" s="21">
        <v>30.84358263716971</v>
      </c>
      <c r="K368" s="21">
        <v>86.962252348856211</v>
      </c>
      <c r="L368" s="21" t="s">
        <v>16</v>
      </c>
      <c r="M368" s="12" t="s">
        <v>17</v>
      </c>
      <c r="N368" s="11"/>
    </row>
    <row r="369" spans="1:14" x14ac:dyDescent="0.3">
      <c r="A369" s="20" t="s">
        <v>440</v>
      </c>
      <c r="B369" s="21">
        <v>81595</v>
      </c>
      <c r="C369" s="21">
        <v>2279</v>
      </c>
      <c r="D369" s="21">
        <v>752</v>
      </c>
      <c r="E369" s="21">
        <v>516775</v>
      </c>
      <c r="F369" s="21">
        <v>712500</v>
      </c>
      <c r="G369" s="21">
        <v>12</v>
      </c>
      <c r="H369" s="21" t="s">
        <v>19</v>
      </c>
      <c r="I369" s="21" t="s">
        <v>66</v>
      </c>
      <c r="J369" s="21">
        <v>33.51675960536798</v>
      </c>
      <c r="K369" s="21">
        <v>72.529824561403515</v>
      </c>
      <c r="L369" s="21" t="s">
        <v>24</v>
      </c>
      <c r="M369" s="12" t="s">
        <v>21</v>
      </c>
      <c r="N369" s="11"/>
    </row>
    <row r="370" spans="1:14" x14ac:dyDescent="0.3">
      <c r="A370" s="20" t="s">
        <v>441</v>
      </c>
      <c r="B370" s="21">
        <v>105083</v>
      </c>
      <c r="C370" s="21">
        <v>998</v>
      </c>
      <c r="D370" s="21">
        <v>658</v>
      </c>
      <c r="E370" s="21">
        <v>982865</v>
      </c>
      <c r="F370" s="21">
        <v>386206</v>
      </c>
      <c r="G370" s="21">
        <v>4</v>
      </c>
      <c r="H370" s="21" t="s">
        <v>32</v>
      </c>
      <c r="I370" s="21" t="s">
        <v>75</v>
      </c>
      <c r="J370" s="21">
        <v>11.396705461397181</v>
      </c>
      <c r="K370" s="21">
        <v>254.49242114312051</v>
      </c>
      <c r="L370" s="21" t="s">
        <v>16</v>
      </c>
      <c r="M370" s="12" t="s">
        <v>17</v>
      </c>
      <c r="N370" s="11"/>
    </row>
    <row r="371" spans="1:14" x14ac:dyDescent="0.3">
      <c r="A371" s="20" t="s">
        <v>442</v>
      </c>
      <c r="B371" s="21">
        <v>77765</v>
      </c>
      <c r="C371" s="21">
        <v>904</v>
      </c>
      <c r="D371" s="21">
        <v>495</v>
      </c>
      <c r="E371" s="21">
        <v>312919</v>
      </c>
      <c r="F371" s="21">
        <v>673929</v>
      </c>
      <c r="G371" s="21">
        <v>2</v>
      </c>
      <c r="H371" s="21" t="s">
        <v>19</v>
      </c>
      <c r="I371" s="21" t="s">
        <v>140</v>
      </c>
      <c r="J371" s="21">
        <v>13.94972031119398</v>
      </c>
      <c r="K371" s="21">
        <v>46.432042544541041</v>
      </c>
      <c r="L371" s="21" t="s">
        <v>27</v>
      </c>
      <c r="M371" s="12" t="s">
        <v>28</v>
      </c>
      <c r="N371" s="11"/>
    </row>
    <row r="372" spans="1:14" x14ac:dyDescent="0.3">
      <c r="A372" s="20" t="s">
        <v>443</v>
      </c>
      <c r="B372" s="21">
        <v>75926</v>
      </c>
      <c r="C372" s="21">
        <v>1037</v>
      </c>
      <c r="D372" s="21">
        <v>652</v>
      </c>
      <c r="E372" s="21">
        <v>802253</v>
      </c>
      <c r="F372" s="21">
        <v>297212</v>
      </c>
      <c r="G372" s="21">
        <v>3</v>
      </c>
      <c r="H372" s="21" t="s">
        <v>14</v>
      </c>
      <c r="I372" s="21" t="s">
        <v>108</v>
      </c>
      <c r="J372" s="21">
        <v>16.389642546690201</v>
      </c>
      <c r="K372" s="21">
        <v>269.92618063873601</v>
      </c>
      <c r="L372" s="21" t="s">
        <v>16</v>
      </c>
      <c r="M372" s="12" t="s">
        <v>17</v>
      </c>
      <c r="N372" s="11"/>
    </row>
    <row r="373" spans="1:14" x14ac:dyDescent="0.3">
      <c r="A373" s="20" t="s">
        <v>444</v>
      </c>
      <c r="B373" s="21">
        <v>105018</v>
      </c>
      <c r="C373" s="21">
        <v>2448</v>
      </c>
      <c r="D373" s="21">
        <v>753</v>
      </c>
      <c r="E373" s="21">
        <v>986166</v>
      </c>
      <c r="F373" s="21">
        <v>406813</v>
      </c>
      <c r="G373" s="21">
        <v>12</v>
      </c>
      <c r="H373" s="21" t="s">
        <v>14</v>
      </c>
      <c r="I373" s="21" t="s">
        <v>204</v>
      </c>
      <c r="J373" s="21">
        <v>27.972347597554698</v>
      </c>
      <c r="K373" s="21">
        <v>242.4126072667294</v>
      </c>
      <c r="L373" s="21" t="s">
        <v>24</v>
      </c>
      <c r="M373" s="12" t="s">
        <v>17</v>
      </c>
      <c r="N373" s="11"/>
    </row>
    <row r="374" spans="1:14" x14ac:dyDescent="0.3">
      <c r="A374" s="20" t="s">
        <v>445</v>
      </c>
      <c r="B374" s="21">
        <v>89866</v>
      </c>
      <c r="C374" s="21">
        <v>828</v>
      </c>
      <c r="D374" s="21">
        <v>605</v>
      </c>
      <c r="E374" s="21">
        <v>411354</v>
      </c>
      <c r="F374" s="21">
        <v>468777</v>
      </c>
      <c r="G374" s="21">
        <v>5</v>
      </c>
      <c r="H374" s="21" t="s">
        <v>32</v>
      </c>
      <c r="I374" s="21" t="s">
        <v>145</v>
      </c>
      <c r="J374" s="21">
        <v>11.05646184318875</v>
      </c>
      <c r="K374" s="21">
        <v>87.750465573182993</v>
      </c>
      <c r="L374" s="21" t="s">
        <v>27</v>
      </c>
      <c r="M374" s="12" t="s">
        <v>28</v>
      </c>
      <c r="N374" s="11"/>
    </row>
    <row r="375" spans="1:14" x14ac:dyDescent="0.3">
      <c r="A375" s="20" t="s">
        <v>446</v>
      </c>
      <c r="B375" s="21">
        <v>74148</v>
      </c>
      <c r="C375" s="21">
        <v>1138</v>
      </c>
      <c r="D375" s="21">
        <v>644</v>
      </c>
      <c r="E375" s="21">
        <v>493606</v>
      </c>
      <c r="F375" s="21">
        <v>670521</v>
      </c>
      <c r="G375" s="21">
        <v>1</v>
      </c>
      <c r="H375" s="21" t="s">
        <v>32</v>
      </c>
      <c r="I375" s="21" t="s">
        <v>105</v>
      </c>
      <c r="J375" s="21">
        <v>18.417219614824411</v>
      </c>
      <c r="K375" s="21">
        <v>73.615293182465578</v>
      </c>
      <c r="L375" s="21" t="s">
        <v>27</v>
      </c>
      <c r="M375" s="12" t="s">
        <v>28</v>
      </c>
      <c r="N375" s="11"/>
    </row>
    <row r="376" spans="1:14" x14ac:dyDescent="0.3">
      <c r="A376" s="20" t="s">
        <v>447</v>
      </c>
      <c r="B376" s="21">
        <v>117769</v>
      </c>
      <c r="C376" s="21">
        <v>882</v>
      </c>
      <c r="D376" s="21">
        <v>568</v>
      </c>
      <c r="E376" s="21">
        <v>131481</v>
      </c>
      <c r="F376" s="21">
        <v>263080</v>
      </c>
      <c r="G376" s="21">
        <v>10</v>
      </c>
      <c r="H376" s="21" t="s">
        <v>45</v>
      </c>
      <c r="I376" s="21" t="s">
        <v>26</v>
      </c>
      <c r="J376" s="21">
        <v>8.9870848865151256</v>
      </c>
      <c r="K376" s="21">
        <v>49.977573361715073</v>
      </c>
      <c r="L376" s="21" t="s">
        <v>27</v>
      </c>
      <c r="M376" s="12" t="s">
        <v>28</v>
      </c>
      <c r="N376" s="11"/>
    </row>
    <row r="377" spans="1:14" x14ac:dyDescent="0.3">
      <c r="A377" s="20" t="s">
        <v>448</v>
      </c>
      <c r="B377" s="21">
        <v>111037</v>
      </c>
      <c r="C377" s="21">
        <v>498</v>
      </c>
      <c r="D377" s="21">
        <v>679</v>
      </c>
      <c r="E377" s="21">
        <v>644393</v>
      </c>
      <c r="F377" s="21">
        <v>868502</v>
      </c>
      <c r="G377" s="21">
        <v>12</v>
      </c>
      <c r="H377" s="21" t="s">
        <v>19</v>
      </c>
      <c r="I377" s="21" t="s">
        <v>77</v>
      </c>
      <c r="J377" s="21">
        <v>5.3819897871880542</v>
      </c>
      <c r="K377" s="21">
        <v>74.195914344468989</v>
      </c>
      <c r="L377" s="21" t="s">
        <v>16</v>
      </c>
      <c r="M377" s="12" t="s">
        <v>17</v>
      </c>
      <c r="N377" s="11"/>
    </row>
    <row r="378" spans="1:14" x14ac:dyDescent="0.3">
      <c r="A378" s="20" t="s">
        <v>449</v>
      </c>
      <c r="B378" s="21">
        <v>102895</v>
      </c>
      <c r="C378" s="21">
        <v>985</v>
      </c>
      <c r="D378" s="21">
        <v>642</v>
      </c>
      <c r="E378" s="21">
        <v>817721</v>
      </c>
      <c r="F378" s="21">
        <v>216381</v>
      </c>
      <c r="G378" s="21">
        <v>7</v>
      </c>
      <c r="H378" s="21" t="s">
        <v>45</v>
      </c>
      <c r="I378" s="21" t="s">
        <v>30</v>
      </c>
      <c r="J378" s="21">
        <v>11.48743865105204</v>
      </c>
      <c r="K378" s="21">
        <v>377.90794940406039</v>
      </c>
      <c r="L378" s="21" t="s">
        <v>27</v>
      </c>
      <c r="M378" s="12" t="s">
        <v>28</v>
      </c>
      <c r="N378" s="11"/>
    </row>
    <row r="379" spans="1:14" x14ac:dyDescent="0.3">
      <c r="A379" s="20" t="s">
        <v>450</v>
      </c>
      <c r="B379" s="21">
        <v>106419</v>
      </c>
      <c r="C379" s="21">
        <v>834</v>
      </c>
      <c r="D379" s="21">
        <v>537</v>
      </c>
      <c r="E379" s="21">
        <v>444963</v>
      </c>
      <c r="F379" s="21">
        <v>564826</v>
      </c>
      <c r="G379" s="21">
        <v>9</v>
      </c>
      <c r="H379" s="21" t="s">
        <v>32</v>
      </c>
      <c r="I379" s="21" t="s">
        <v>20</v>
      </c>
      <c r="J379" s="21">
        <v>9.4043356919347101</v>
      </c>
      <c r="K379" s="21">
        <v>78.778774348206355</v>
      </c>
      <c r="L379" s="21" t="s">
        <v>27</v>
      </c>
      <c r="M379" s="12" t="s">
        <v>28</v>
      </c>
      <c r="N379" s="11"/>
    </row>
    <row r="380" spans="1:14" x14ac:dyDescent="0.3">
      <c r="A380" s="20" t="s">
        <v>451</v>
      </c>
      <c r="B380" s="21">
        <v>95387</v>
      </c>
      <c r="C380" s="21">
        <v>1460</v>
      </c>
      <c r="D380" s="21">
        <v>839</v>
      </c>
      <c r="E380" s="21">
        <v>149934</v>
      </c>
      <c r="F380" s="21">
        <v>511389</v>
      </c>
      <c r="G380" s="21">
        <v>1</v>
      </c>
      <c r="H380" s="21" t="s">
        <v>45</v>
      </c>
      <c r="I380" s="21" t="s">
        <v>35</v>
      </c>
      <c r="J380" s="21">
        <v>18.367282753415029</v>
      </c>
      <c r="K380" s="21">
        <v>29.31897244563336</v>
      </c>
      <c r="L380" s="21" t="s">
        <v>24</v>
      </c>
      <c r="M380" s="12" t="s">
        <v>21</v>
      </c>
      <c r="N380" s="11"/>
    </row>
    <row r="381" spans="1:14" x14ac:dyDescent="0.3">
      <c r="A381" s="20" t="s">
        <v>452</v>
      </c>
      <c r="B381" s="21">
        <v>103695</v>
      </c>
      <c r="C381" s="21">
        <v>2366</v>
      </c>
      <c r="D381" s="21">
        <v>455</v>
      </c>
      <c r="E381" s="21">
        <v>620162</v>
      </c>
      <c r="F381" s="21">
        <v>319532</v>
      </c>
      <c r="G381" s="21">
        <v>1</v>
      </c>
      <c r="H381" s="21" t="s">
        <v>32</v>
      </c>
      <c r="I381" s="21" t="s">
        <v>33</v>
      </c>
      <c r="J381" s="21">
        <v>27.380297989295531</v>
      </c>
      <c r="K381" s="21">
        <v>194.084473542556</v>
      </c>
      <c r="L381" s="21" t="s">
        <v>27</v>
      </c>
      <c r="M381" s="12" t="s">
        <v>28</v>
      </c>
      <c r="N381" s="11"/>
    </row>
    <row r="382" spans="1:14" x14ac:dyDescent="0.3">
      <c r="A382" s="20" t="s">
        <v>453</v>
      </c>
      <c r="B382" s="21">
        <v>77467</v>
      </c>
      <c r="C382" s="21">
        <v>1686</v>
      </c>
      <c r="D382" s="21">
        <v>620</v>
      </c>
      <c r="E382" s="21">
        <v>569209</v>
      </c>
      <c r="F382" s="21">
        <v>581342</v>
      </c>
      <c r="G382" s="21">
        <v>10</v>
      </c>
      <c r="H382" s="21" t="s">
        <v>45</v>
      </c>
      <c r="I382" s="21" t="s">
        <v>63</v>
      </c>
      <c r="J382" s="21">
        <v>26.116927207714252</v>
      </c>
      <c r="K382" s="21">
        <v>97.91293249068535</v>
      </c>
      <c r="L382" s="21" t="s">
        <v>27</v>
      </c>
      <c r="M382" s="12" t="s">
        <v>28</v>
      </c>
      <c r="N382" s="11"/>
    </row>
    <row r="383" spans="1:14" x14ac:dyDescent="0.3">
      <c r="A383" s="20" t="s">
        <v>454</v>
      </c>
      <c r="B383" s="21">
        <v>80990</v>
      </c>
      <c r="C383" s="21">
        <v>2792</v>
      </c>
      <c r="D383" s="21">
        <v>834</v>
      </c>
      <c r="E383" s="21">
        <v>71379</v>
      </c>
      <c r="F383" s="21">
        <v>356512</v>
      </c>
      <c r="G383" s="21">
        <v>12</v>
      </c>
      <c r="H383" s="21" t="s">
        <v>45</v>
      </c>
      <c r="I383" s="21" t="s">
        <v>23</v>
      </c>
      <c r="J383" s="21">
        <v>41.368070132115079</v>
      </c>
      <c r="K383" s="21">
        <v>20.021485952787</v>
      </c>
      <c r="L383" s="21" t="s">
        <v>24</v>
      </c>
      <c r="M383" s="12" t="s">
        <v>21</v>
      </c>
      <c r="N383" s="11"/>
    </row>
    <row r="384" spans="1:14" x14ac:dyDescent="0.3">
      <c r="A384" s="20" t="s">
        <v>455</v>
      </c>
      <c r="B384" s="21">
        <v>72085</v>
      </c>
      <c r="C384" s="21">
        <v>2136</v>
      </c>
      <c r="D384" s="21">
        <v>658</v>
      </c>
      <c r="E384" s="21">
        <v>448429</v>
      </c>
      <c r="F384" s="21">
        <v>809725</v>
      </c>
      <c r="G384" s="21">
        <v>12</v>
      </c>
      <c r="H384" s="21" t="s">
        <v>32</v>
      </c>
      <c r="I384" s="21" t="s">
        <v>51</v>
      </c>
      <c r="J384" s="21">
        <v>35.558021779843237</v>
      </c>
      <c r="K384" s="21">
        <v>55.380406928278113</v>
      </c>
      <c r="L384" s="21" t="s">
        <v>16</v>
      </c>
      <c r="M384" s="12" t="s">
        <v>17</v>
      </c>
      <c r="N384" s="11"/>
    </row>
    <row r="385" spans="1:14" x14ac:dyDescent="0.3">
      <c r="A385" s="20" t="s">
        <v>456</v>
      </c>
      <c r="B385" s="21">
        <v>113855</v>
      </c>
      <c r="C385" s="21">
        <v>1901</v>
      </c>
      <c r="D385" s="21">
        <v>481</v>
      </c>
      <c r="E385" s="21">
        <v>909933</v>
      </c>
      <c r="F385" s="21">
        <v>348242</v>
      </c>
      <c r="G385" s="21">
        <v>1</v>
      </c>
      <c r="H385" s="21" t="s">
        <v>45</v>
      </c>
      <c r="I385" s="21" t="s">
        <v>55</v>
      </c>
      <c r="J385" s="21">
        <v>20.0360107153836</v>
      </c>
      <c r="K385" s="21">
        <v>261.29329604125871</v>
      </c>
      <c r="L385" s="21" t="s">
        <v>27</v>
      </c>
      <c r="M385" s="12" t="s">
        <v>28</v>
      </c>
      <c r="N385" s="11"/>
    </row>
    <row r="386" spans="1:14" x14ac:dyDescent="0.3">
      <c r="A386" s="20" t="s">
        <v>457</v>
      </c>
      <c r="B386" s="21">
        <v>100356</v>
      </c>
      <c r="C386" s="21">
        <v>596</v>
      </c>
      <c r="D386" s="21">
        <v>793</v>
      </c>
      <c r="E386" s="21">
        <v>570046</v>
      </c>
      <c r="F386" s="21">
        <v>980220</v>
      </c>
      <c r="G386" s="21">
        <v>3</v>
      </c>
      <c r="H386" s="21" t="s">
        <v>32</v>
      </c>
      <c r="I386" s="21" t="s">
        <v>79</v>
      </c>
      <c r="J386" s="21">
        <v>7.1266292000478293</v>
      </c>
      <c r="K386" s="21">
        <v>58.154904001142597</v>
      </c>
      <c r="L386" s="21" t="s">
        <v>24</v>
      </c>
      <c r="M386" s="12" t="s">
        <v>21</v>
      </c>
      <c r="N386" s="11"/>
    </row>
    <row r="387" spans="1:14" x14ac:dyDescent="0.3">
      <c r="A387" s="20" t="s">
        <v>458</v>
      </c>
      <c r="B387" s="21">
        <v>112617</v>
      </c>
      <c r="C387" s="21">
        <v>2463</v>
      </c>
      <c r="D387" s="21">
        <v>589</v>
      </c>
      <c r="E387" s="21">
        <v>601027</v>
      </c>
      <c r="F387" s="21">
        <v>844670</v>
      </c>
      <c r="G387" s="21">
        <v>2</v>
      </c>
      <c r="H387" s="21" t="s">
        <v>45</v>
      </c>
      <c r="I387" s="21" t="s">
        <v>37</v>
      </c>
      <c r="J387" s="21">
        <v>26.24470550627348</v>
      </c>
      <c r="K387" s="21">
        <v>71.155244059810343</v>
      </c>
      <c r="L387" s="21" t="s">
        <v>27</v>
      </c>
      <c r="M387" s="12" t="s">
        <v>28</v>
      </c>
      <c r="N387" s="11"/>
    </row>
    <row r="388" spans="1:14" x14ac:dyDescent="0.3">
      <c r="A388" s="20" t="s">
        <v>459</v>
      </c>
      <c r="B388" s="21">
        <v>105292</v>
      </c>
      <c r="C388" s="21">
        <v>2841</v>
      </c>
      <c r="D388" s="21">
        <v>676</v>
      </c>
      <c r="E388" s="21">
        <v>331368</v>
      </c>
      <c r="F388" s="21">
        <v>790390</v>
      </c>
      <c r="G388" s="21">
        <v>4</v>
      </c>
      <c r="H388" s="21" t="s">
        <v>19</v>
      </c>
      <c r="I388" s="21" t="s">
        <v>86</v>
      </c>
      <c r="J388" s="21">
        <v>32.378528283250382</v>
      </c>
      <c r="K388" s="21">
        <v>41.924619491643369</v>
      </c>
      <c r="L388" s="21" t="s">
        <v>16</v>
      </c>
      <c r="M388" s="12" t="s">
        <v>17</v>
      </c>
      <c r="N388" s="11"/>
    </row>
    <row r="389" spans="1:14" x14ac:dyDescent="0.3">
      <c r="A389" s="20" t="s">
        <v>460</v>
      </c>
      <c r="B389" s="21">
        <v>78551</v>
      </c>
      <c r="C389" s="21">
        <v>1076</v>
      </c>
      <c r="D389" s="21">
        <v>768</v>
      </c>
      <c r="E389" s="21">
        <v>929683</v>
      </c>
      <c r="F389" s="21">
        <v>773622</v>
      </c>
      <c r="G389" s="21">
        <v>6</v>
      </c>
      <c r="H389" s="21" t="s">
        <v>45</v>
      </c>
      <c r="I389" s="21" t="s">
        <v>120</v>
      </c>
      <c r="J389" s="21">
        <v>16.437728354826799</v>
      </c>
      <c r="K389" s="21">
        <v>120.17277171538549</v>
      </c>
      <c r="L389" s="21" t="s">
        <v>24</v>
      </c>
      <c r="M389" s="12" t="s">
        <v>17</v>
      </c>
      <c r="N389" s="11"/>
    </row>
    <row r="390" spans="1:14" x14ac:dyDescent="0.3">
      <c r="A390" s="20" t="s">
        <v>461</v>
      </c>
      <c r="B390" s="21">
        <v>97530</v>
      </c>
      <c r="C390" s="21">
        <v>655</v>
      </c>
      <c r="D390" s="21">
        <v>630</v>
      </c>
      <c r="E390" s="21">
        <v>127560</v>
      </c>
      <c r="F390" s="21">
        <v>523426</v>
      </c>
      <c r="G390" s="21">
        <v>7</v>
      </c>
      <c r="H390" s="21" t="s">
        <v>14</v>
      </c>
      <c r="I390" s="21" t="s">
        <v>79</v>
      </c>
      <c r="J390" s="21">
        <v>8.0590587511534917</v>
      </c>
      <c r="K390" s="21">
        <v>24.370207058877469</v>
      </c>
      <c r="L390" s="21" t="s">
        <v>27</v>
      </c>
      <c r="M390" s="12" t="s">
        <v>28</v>
      </c>
      <c r="N390" s="11"/>
    </row>
    <row r="391" spans="1:14" x14ac:dyDescent="0.3">
      <c r="A391" s="20" t="s">
        <v>462</v>
      </c>
      <c r="B391" s="21">
        <v>77121</v>
      </c>
      <c r="C391" s="21">
        <v>691</v>
      </c>
      <c r="D391" s="21">
        <v>625</v>
      </c>
      <c r="E391" s="21">
        <v>663113</v>
      </c>
      <c r="F391" s="21">
        <v>875886</v>
      </c>
      <c r="G391" s="21">
        <v>2</v>
      </c>
      <c r="H391" s="21" t="s">
        <v>19</v>
      </c>
      <c r="I391" s="21" t="s">
        <v>53</v>
      </c>
      <c r="J391" s="21">
        <v>10.751935270548881</v>
      </c>
      <c r="K391" s="21">
        <v>75.707683419988442</v>
      </c>
      <c r="L391" s="21" t="s">
        <v>27</v>
      </c>
      <c r="M391" s="12" t="s">
        <v>28</v>
      </c>
      <c r="N391" s="11"/>
    </row>
    <row r="392" spans="1:14" x14ac:dyDescent="0.3">
      <c r="A392" s="20" t="s">
        <v>463</v>
      </c>
      <c r="B392" s="21">
        <v>110087</v>
      </c>
      <c r="C392" s="21">
        <v>1905</v>
      </c>
      <c r="D392" s="21">
        <v>526</v>
      </c>
      <c r="E392" s="21">
        <v>592646</v>
      </c>
      <c r="F392" s="21">
        <v>432294</v>
      </c>
      <c r="G392" s="21">
        <v>3</v>
      </c>
      <c r="H392" s="21" t="s">
        <v>45</v>
      </c>
      <c r="I392" s="21" t="s">
        <v>96</v>
      </c>
      <c r="J392" s="21">
        <v>20.765394642419182</v>
      </c>
      <c r="K392" s="21">
        <v>137.09327448449429</v>
      </c>
      <c r="L392" s="21" t="s">
        <v>27</v>
      </c>
      <c r="M392" s="12" t="s">
        <v>28</v>
      </c>
      <c r="N392" s="11"/>
    </row>
    <row r="393" spans="1:14" x14ac:dyDescent="0.3">
      <c r="A393" s="20" t="s">
        <v>464</v>
      </c>
      <c r="B393" s="21">
        <v>106668</v>
      </c>
      <c r="C393" s="21">
        <v>2759</v>
      </c>
      <c r="D393" s="21">
        <v>522</v>
      </c>
      <c r="E393" s="21">
        <v>764028</v>
      </c>
      <c r="F393" s="21">
        <v>752152</v>
      </c>
      <c r="G393" s="21">
        <v>7</v>
      </c>
      <c r="H393" s="21" t="s">
        <v>19</v>
      </c>
      <c r="I393" s="21" t="s">
        <v>105</v>
      </c>
      <c r="J393" s="21">
        <v>31.03836202047475</v>
      </c>
      <c r="K393" s="21">
        <v>101.57893617247581</v>
      </c>
      <c r="L393" s="21" t="s">
        <v>27</v>
      </c>
      <c r="M393" s="12" t="s">
        <v>28</v>
      </c>
      <c r="N393" s="11"/>
    </row>
    <row r="394" spans="1:14" x14ac:dyDescent="0.3">
      <c r="A394" s="20" t="s">
        <v>465</v>
      </c>
      <c r="B394" s="21">
        <v>94841</v>
      </c>
      <c r="C394" s="21">
        <v>1083</v>
      </c>
      <c r="D394" s="21">
        <v>548</v>
      </c>
      <c r="E394" s="21">
        <v>148745</v>
      </c>
      <c r="F394" s="21">
        <v>469175</v>
      </c>
      <c r="G394" s="21">
        <v>2</v>
      </c>
      <c r="H394" s="21" t="s">
        <v>32</v>
      </c>
      <c r="I394" s="21" t="s">
        <v>51</v>
      </c>
      <c r="J394" s="21">
        <v>13.70293438491791</v>
      </c>
      <c r="K394" s="21">
        <v>31.70352213992647</v>
      </c>
      <c r="L394" s="21" t="s">
        <v>27</v>
      </c>
      <c r="M394" s="12" t="s">
        <v>28</v>
      </c>
      <c r="N394" s="11"/>
    </row>
    <row r="395" spans="1:14" x14ac:dyDescent="0.3">
      <c r="A395" s="20" t="s">
        <v>466</v>
      </c>
      <c r="B395" s="21">
        <v>83284</v>
      </c>
      <c r="C395" s="21">
        <v>2998</v>
      </c>
      <c r="D395" s="21">
        <v>551</v>
      </c>
      <c r="E395" s="21">
        <v>519818</v>
      </c>
      <c r="F395" s="21">
        <v>563621</v>
      </c>
      <c r="G395" s="21">
        <v>8</v>
      </c>
      <c r="H395" s="21" t="s">
        <v>19</v>
      </c>
      <c r="I395" s="21" t="s">
        <v>84</v>
      </c>
      <c r="J395" s="21">
        <v>43.196772489313673</v>
      </c>
      <c r="K395" s="21">
        <v>92.228288158177222</v>
      </c>
      <c r="L395" s="21" t="s">
        <v>27</v>
      </c>
      <c r="M395" s="12" t="s">
        <v>28</v>
      </c>
      <c r="N395" s="11"/>
    </row>
    <row r="396" spans="1:14" x14ac:dyDescent="0.3">
      <c r="A396" s="20" t="s">
        <v>467</v>
      </c>
      <c r="B396" s="21">
        <v>98007</v>
      </c>
      <c r="C396" s="21">
        <v>2341</v>
      </c>
      <c r="D396" s="21">
        <v>709</v>
      </c>
      <c r="E396" s="21">
        <v>171357</v>
      </c>
      <c r="F396" s="21">
        <v>492366</v>
      </c>
      <c r="G396" s="21">
        <v>8</v>
      </c>
      <c r="H396" s="21" t="s">
        <v>19</v>
      </c>
      <c r="I396" s="21" t="s">
        <v>51</v>
      </c>
      <c r="J396" s="21">
        <v>28.663258746824209</v>
      </c>
      <c r="K396" s="21">
        <v>34.802768672085399</v>
      </c>
      <c r="L396" s="21" t="s">
        <v>16</v>
      </c>
      <c r="M396" s="12" t="s">
        <v>21</v>
      </c>
      <c r="N396" s="11"/>
    </row>
    <row r="397" spans="1:14" x14ac:dyDescent="0.3">
      <c r="A397" s="20" t="s">
        <v>468</v>
      </c>
      <c r="B397" s="21">
        <v>98721</v>
      </c>
      <c r="C397" s="21">
        <v>2466</v>
      </c>
      <c r="D397" s="21">
        <v>816</v>
      </c>
      <c r="E397" s="21">
        <v>927880</v>
      </c>
      <c r="F397" s="21">
        <v>962946</v>
      </c>
      <c r="G397" s="21">
        <v>6</v>
      </c>
      <c r="H397" s="21" t="s">
        <v>14</v>
      </c>
      <c r="I397" s="21" t="s">
        <v>35</v>
      </c>
      <c r="J397" s="21">
        <v>29.975385176406238</v>
      </c>
      <c r="K397" s="21">
        <v>96.358466622219723</v>
      </c>
      <c r="L397" s="21" t="s">
        <v>24</v>
      </c>
      <c r="M397" s="12" t="s">
        <v>17</v>
      </c>
      <c r="N397" s="11"/>
    </row>
    <row r="398" spans="1:14" x14ac:dyDescent="0.3">
      <c r="A398" s="20" t="s">
        <v>469</v>
      </c>
      <c r="B398" s="21">
        <v>83849</v>
      </c>
      <c r="C398" s="21">
        <v>2651</v>
      </c>
      <c r="D398" s="21">
        <v>792</v>
      </c>
      <c r="E398" s="21">
        <v>764998</v>
      </c>
      <c r="F398" s="21">
        <v>708960</v>
      </c>
      <c r="G398" s="21">
        <v>9</v>
      </c>
      <c r="H398" s="21" t="s">
        <v>45</v>
      </c>
      <c r="I398" s="21" t="s">
        <v>59</v>
      </c>
      <c r="J398" s="21">
        <v>37.939629572207181</v>
      </c>
      <c r="K398" s="21">
        <v>107.9042541187091</v>
      </c>
      <c r="L398" s="21" t="s">
        <v>24</v>
      </c>
      <c r="M398" s="12" t="s">
        <v>17</v>
      </c>
      <c r="N398" s="11"/>
    </row>
    <row r="399" spans="1:14" x14ac:dyDescent="0.3">
      <c r="A399" s="20" t="s">
        <v>470</v>
      </c>
      <c r="B399" s="21">
        <v>118303</v>
      </c>
      <c r="C399" s="21">
        <v>362</v>
      </c>
      <c r="D399" s="21">
        <v>670</v>
      </c>
      <c r="E399" s="21">
        <v>739518</v>
      </c>
      <c r="F399" s="21">
        <v>554393</v>
      </c>
      <c r="G399" s="21">
        <v>12</v>
      </c>
      <c r="H399" s="21" t="s">
        <v>45</v>
      </c>
      <c r="I399" s="21" t="s">
        <v>91</v>
      </c>
      <c r="J399" s="21">
        <v>3.671927170063312</v>
      </c>
      <c r="K399" s="21">
        <v>133.3923768878756</v>
      </c>
      <c r="L399" s="21" t="s">
        <v>16</v>
      </c>
      <c r="M399" s="12" t="s">
        <v>17</v>
      </c>
      <c r="N399" s="11"/>
    </row>
    <row r="400" spans="1:14" x14ac:dyDescent="0.3">
      <c r="A400" s="20" t="s">
        <v>471</v>
      </c>
      <c r="B400" s="21">
        <v>113305</v>
      </c>
      <c r="C400" s="21">
        <v>1720</v>
      </c>
      <c r="D400" s="21">
        <v>679</v>
      </c>
      <c r="E400" s="21">
        <v>730911</v>
      </c>
      <c r="F400" s="21">
        <v>254507</v>
      </c>
      <c r="G400" s="21">
        <v>7</v>
      </c>
      <c r="H400" s="21" t="s">
        <v>45</v>
      </c>
      <c r="I400" s="21" t="s">
        <v>77</v>
      </c>
      <c r="J400" s="21">
        <v>18.21631878557875</v>
      </c>
      <c r="K400" s="21">
        <v>287.18699289214049</v>
      </c>
      <c r="L400" s="21" t="s">
        <v>16</v>
      </c>
      <c r="M400" s="12" t="s">
        <v>17</v>
      </c>
      <c r="N400" s="11"/>
    </row>
    <row r="401" spans="1:14" ht="15" thickBot="1" x14ac:dyDescent="0.35">
      <c r="A401" s="22" t="s">
        <v>472</v>
      </c>
      <c r="B401" s="23">
        <v>114575</v>
      </c>
      <c r="C401" s="23">
        <v>395</v>
      </c>
      <c r="D401" s="23">
        <v>596</v>
      </c>
      <c r="E401" s="23">
        <v>545724</v>
      </c>
      <c r="F401" s="23">
        <v>306151</v>
      </c>
      <c r="G401" s="23">
        <v>10</v>
      </c>
      <c r="H401" s="23" t="s">
        <v>32</v>
      </c>
      <c r="I401" s="23" t="s">
        <v>57</v>
      </c>
      <c r="J401" s="23">
        <v>4.1370281475016366</v>
      </c>
      <c r="K401" s="23">
        <v>178.25321491682209</v>
      </c>
      <c r="L401" s="23" t="s">
        <v>27</v>
      </c>
      <c r="M401" s="15" t="s">
        <v>28</v>
      </c>
      <c r="N401" s="11"/>
    </row>
    <row r="402" spans="1:14" ht="15" thickTop="1" x14ac:dyDescent="0.3"/>
    <row r="403" spans="1:14" x14ac:dyDescent="0.3">
      <c r="K403" t="s">
        <v>509</v>
      </c>
    </row>
    <row r="404" spans="1:14" x14ac:dyDescent="0.3">
      <c r="K404" s="79" t="s">
        <v>510</v>
      </c>
      <c r="L404" s="80"/>
    </row>
  </sheetData>
  <sheetProtection algorithmName="SHA-512" hashValue="2gyeAmSDCuTq15zM3oXf8Ead4AUw0V3W/EW8W1noJ/nUdfNvRXZGi/T4GknNF/2fhGv2y0/Fpee2ei2ysbVjlg==" saltValue="8uSDJwbykWtAVggVjxl6sg==" spinCount="100000" sheet="1" objects="1" scenarios="1" sort="0" autoFilter="0" pivotTables="0"/>
  <autoFilter ref="A1:M401"/>
  <conditionalFormatting sqref="L1:L104857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401">
    <cfRule type="containsText" dxfId="14" priority="22" operator="containsText" text="Conditional Approval">
      <formula>NOT(ISERROR(SEARCH("Conditional Approval",M2)))</formula>
    </cfRule>
    <cfRule type="containsText" dxfId="13" priority="23" operator="containsText" text="Rejected">
      <formula>NOT(ISERROR(SEARCH("Rejected",M2)))</formula>
    </cfRule>
    <cfRule type="containsText" dxfId="12" priority="24" operator="containsText" text="Approved">
      <formula>NOT(ISERROR(SEARCH("Approved",M2)))</formula>
    </cfRule>
    <cfRule type="containsText" dxfId="11" priority="25" operator="containsText" text="Approved">
      <formula>NOT(ISERROR(SEARCH("Approved",M2)))</formula>
    </cfRule>
  </conditionalFormatting>
  <conditionalFormatting sqref="D2:D401">
    <cfRule type="cellIs" dxfId="10" priority="17" operator="lessThan">
      <formula>650</formula>
    </cfRule>
    <cfRule type="cellIs" dxfId="9" priority="18" operator="greaterThan">
      <formula>750</formula>
    </cfRule>
  </conditionalFormatting>
  <conditionalFormatting sqref="B1:B1048576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{3BE8AC7D-ED3C-469B-8FF6-B82D97E54FA1}</x14:id>
        </ext>
      </extLst>
    </cfRule>
  </conditionalFormatting>
  <conditionalFormatting sqref="E1:E104857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{F1494C7B-187A-4A09-84EA-E2E4440EB18C}</x14:id>
        </ext>
      </extLst>
    </cfRule>
  </conditionalFormatting>
  <conditionalFormatting sqref="F1:F104857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{EE9F51F3-707D-4B10-A62D-90D14C78AE54}</x14:id>
        </ext>
      </extLst>
    </cfRule>
  </conditionalFormatting>
  <conditionalFormatting sqref="L2:L401">
    <cfRule type="containsText" dxfId="8" priority="9" operator="containsText" text="High Risk">
      <formula>NOT(ISERROR(SEARCH("High Risk",L2)))</formula>
    </cfRule>
    <cfRule type="containsText" dxfId="7" priority="10" operator="containsText" text="Low Risk">
      <formula>NOT(ISERROR(SEARCH("Low Risk",L2)))</formula>
    </cfRule>
    <cfRule type="containsText" dxfId="6" priority="11" operator="containsText" text="Moderate Risk">
      <formula>NOT(ISERROR(SEARCH("Moderate Risk",L2)))</formula>
    </cfRule>
  </conditionalFormatting>
  <conditionalFormatting sqref="J2:J401">
    <cfRule type="cellIs" dxfId="5" priority="4" operator="lessThan">
      <formula>35</formula>
    </cfRule>
    <cfRule type="cellIs" dxfId="4" priority="5" operator="between">
      <formula>35</formula>
      <formula>40</formula>
    </cfRule>
    <cfRule type="cellIs" dxfId="3" priority="6" operator="greaterThan">
      <formula>40</formula>
    </cfRule>
  </conditionalFormatting>
  <conditionalFormatting sqref="K2:K401">
    <cfRule type="cellIs" dxfId="2" priority="1" operator="greaterThan">
      <formula>90</formula>
    </cfRule>
    <cfRule type="cellIs" dxfId="1" priority="2" operator="between">
      <formula>80</formula>
      <formula>90</formula>
    </cfRule>
    <cfRule type="cellIs" dxfId="0" priority="3" operator="lessThan">
      <formula>80</formula>
    </cfRule>
  </conditionalFormatting>
  <hyperlinks>
    <hyperlink ref="K404" r:id="rId1"/>
  </hyperlinks>
  <pageMargins left="0.75" right="0.75" top="1" bottom="1" header="0.5" footer="0.5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8AC7D-ED3C-469B-8FF6-B82D97E54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F1494C7B-187A-4A09-84EA-E2E4440EB1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EE9F51F3-707D-4B10-A62D-90D14C78AE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B2:Q20"/>
  <sheetViews>
    <sheetView showGridLines="0" workbookViewId="0">
      <selection activeCell="G13" sqref="G13"/>
    </sheetView>
  </sheetViews>
  <sheetFormatPr defaultRowHeight="14.4" x14ac:dyDescent="0.3"/>
  <sheetData>
    <row r="2" spans="2:17" x14ac:dyDescent="0.3">
      <c r="B2" s="76" t="s">
        <v>500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2:17" x14ac:dyDescent="0.3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2:17" x14ac:dyDescent="0.3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6" spans="2:17" x14ac:dyDescent="0.3">
      <c r="B6" s="77" t="s">
        <v>501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2:17" x14ac:dyDescent="0.3"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8" spans="2:17" x14ac:dyDescent="0.3">
      <c r="B8" s="78" t="s">
        <v>502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</row>
    <row r="9" spans="2:17" x14ac:dyDescent="0.3"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spans="2:17" x14ac:dyDescent="0.3">
      <c r="B10" s="47" t="s">
        <v>503</v>
      </c>
      <c r="C10" s="47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spans="2:17" x14ac:dyDescent="0.3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spans="2:17" x14ac:dyDescent="0.3">
      <c r="B12" s="47" t="s">
        <v>504</v>
      </c>
      <c r="C12" s="47"/>
      <c r="D12" s="47"/>
      <c r="E12" s="47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2:17" x14ac:dyDescent="0.3">
      <c r="B13" s="11"/>
      <c r="C13" s="11"/>
      <c r="D13" s="11"/>
      <c r="E13" s="11"/>
    </row>
    <row r="14" spans="2:17" x14ac:dyDescent="0.3">
      <c r="B14" s="11" t="s">
        <v>505</v>
      </c>
      <c r="C14" s="11"/>
      <c r="D14" s="11"/>
      <c r="E14" s="11"/>
    </row>
    <row r="15" spans="2:17" x14ac:dyDescent="0.3">
      <c r="B15" s="11"/>
      <c r="C15" s="11"/>
      <c r="D15" s="11"/>
      <c r="E15" s="11"/>
    </row>
    <row r="16" spans="2:17" x14ac:dyDescent="0.3">
      <c r="B16" s="11" t="s">
        <v>506</v>
      </c>
      <c r="C16" s="11"/>
      <c r="D16" s="11"/>
      <c r="E16" s="11"/>
    </row>
    <row r="17" spans="2:5" x14ac:dyDescent="0.3">
      <c r="B17" s="11"/>
      <c r="C17" s="11"/>
      <c r="D17" s="11"/>
      <c r="E17" s="11"/>
    </row>
    <row r="18" spans="2:5" x14ac:dyDescent="0.3">
      <c r="B18" s="11" t="s">
        <v>507</v>
      </c>
      <c r="C18" s="11"/>
      <c r="D18" s="11"/>
      <c r="E18" s="11"/>
    </row>
    <row r="19" spans="2:5" x14ac:dyDescent="0.3">
      <c r="B19" s="11"/>
      <c r="C19" s="11"/>
      <c r="D19" s="11"/>
      <c r="E19" s="11"/>
    </row>
    <row r="20" spans="2:5" x14ac:dyDescent="0.3">
      <c r="B20" s="11" t="s">
        <v>508</v>
      </c>
      <c r="C20" s="11"/>
      <c r="D20" s="11"/>
      <c r="E20" s="11"/>
    </row>
  </sheetData>
  <mergeCells count="2">
    <mergeCell ref="B2:Q4"/>
    <mergeCell ref="B8:Q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showGridLines="0" workbookViewId="0">
      <selection activeCell="C27" sqref="C27"/>
    </sheetView>
  </sheetViews>
  <sheetFormatPr defaultRowHeight="14.4" x14ac:dyDescent="0.3"/>
  <cols>
    <col min="2" max="3" width="30.77734375" customWidth="1"/>
  </cols>
  <sheetData>
    <row r="1" spans="2:7" ht="15" thickBot="1" x14ac:dyDescent="0.35"/>
    <row r="2" spans="2:7" ht="15.6" thickTop="1" thickBot="1" x14ac:dyDescent="0.35">
      <c r="B2" s="7" t="s">
        <v>478</v>
      </c>
      <c r="C2" s="8" t="s">
        <v>479</v>
      </c>
    </row>
    <row r="3" spans="2:7" ht="15" thickTop="1" x14ac:dyDescent="0.3">
      <c r="B3" s="5" t="s">
        <v>473</v>
      </c>
      <c r="C3" s="6">
        <f>COUNTA('Main Sheet'!A2:A401)</f>
        <v>400</v>
      </c>
    </row>
    <row r="4" spans="2:7" x14ac:dyDescent="0.3">
      <c r="B4" s="1" t="s">
        <v>474</v>
      </c>
      <c r="C4" s="2">
        <f>AVERAGE('Main Sheet'!D2:D401)</f>
        <v>647.31500000000005</v>
      </c>
    </row>
    <row r="5" spans="2:7" x14ac:dyDescent="0.3">
      <c r="B5" s="1" t="s">
        <v>475</v>
      </c>
      <c r="C5" s="2">
        <f>AVERAGE('Main Sheet'!J2:J401)</f>
        <v>20.26554628714349</v>
      </c>
    </row>
    <row r="6" spans="2:7" x14ac:dyDescent="0.3">
      <c r="B6" s="1" t="s">
        <v>476</v>
      </c>
      <c r="C6" s="2">
        <f>COUNTIF('Main Sheet'!M2:M401,"Approved")/COUNTA('Main Sheet'!M2:M401)</f>
        <v>0.19</v>
      </c>
    </row>
    <row r="7" spans="2:7" ht="15" thickBot="1" x14ac:dyDescent="0.35">
      <c r="B7" s="3" t="s">
        <v>477</v>
      </c>
      <c r="C7" s="4">
        <f>COUNTIF('Main Sheet'!L2:L401,"High Risk")</f>
        <v>207</v>
      </c>
    </row>
    <row r="8" spans="2:7" ht="15.6" thickTop="1" thickBot="1" x14ac:dyDescent="0.35"/>
    <row r="9" spans="2:7" ht="15" thickBot="1" x14ac:dyDescent="0.35">
      <c r="B9" s="35" t="s">
        <v>483</v>
      </c>
      <c r="C9" s="36"/>
      <c r="D9" s="36"/>
      <c r="E9" s="36"/>
      <c r="F9" s="36"/>
      <c r="G9" s="37"/>
    </row>
    <row r="10" spans="2:7" x14ac:dyDescent="0.3">
      <c r="B10" s="26"/>
      <c r="C10" s="27"/>
      <c r="D10" s="27"/>
      <c r="E10" s="27"/>
      <c r="F10" s="27"/>
      <c r="G10" s="28"/>
    </row>
    <row r="11" spans="2:7" x14ac:dyDescent="0.3">
      <c r="B11" s="38" t="s">
        <v>484</v>
      </c>
      <c r="C11" s="39"/>
      <c r="D11" s="39"/>
      <c r="E11" s="39"/>
      <c r="F11" s="39"/>
      <c r="G11" s="40"/>
    </row>
    <row r="12" spans="2:7" ht="15" thickBot="1" x14ac:dyDescent="0.35">
      <c r="B12" s="41"/>
      <c r="C12" s="42"/>
      <c r="D12" s="42"/>
      <c r="E12" s="42"/>
      <c r="F12" s="42"/>
      <c r="G12" s="43"/>
    </row>
    <row r="13" spans="2:7" x14ac:dyDescent="0.3">
      <c r="B13" s="26"/>
      <c r="C13" s="27"/>
      <c r="D13" s="27"/>
      <c r="E13" s="27"/>
      <c r="F13" s="27"/>
      <c r="G13" s="28"/>
    </row>
    <row r="14" spans="2:7" ht="14.4" customHeight="1" x14ac:dyDescent="0.3">
      <c r="B14" s="44" t="s">
        <v>485</v>
      </c>
      <c r="C14" s="45"/>
      <c r="D14" s="45"/>
      <c r="E14" s="45"/>
      <c r="F14" s="45"/>
      <c r="G14" s="46"/>
    </row>
    <row r="15" spans="2:7" ht="15" thickBot="1" x14ac:dyDescent="0.35">
      <c r="B15" s="32"/>
      <c r="C15" s="33"/>
      <c r="D15" s="33"/>
      <c r="E15" s="33"/>
      <c r="F15" s="33"/>
      <c r="G15" s="34"/>
    </row>
    <row r="16" spans="2:7" x14ac:dyDescent="0.3">
      <c r="B16" s="26"/>
      <c r="C16" s="27"/>
      <c r="D16" s="27"/>
      <c r="E16" s="27"/>
      <c r="F16" s="27"/>
      <c r="G16" s="28"/>
    </row>
    <row r="17" spans="2:7" x14ac:dyDescent="0.3">
      <c r="B17" s="44" t="s">
        <v>486</v>
      </c>
      <c r="C17" s="45"/>
      <c r="D17" s="45"/>
      <c r="E17" s="45"/>
      <c r="F17" s="45"/>
      <c r="G17" s="46"/>
    </row>
    <row r="18" spans="2:7" ht="15" thickBot="1" x14ac:dyDescent="0.35">
      <c r="B18" s="32"/>
      <c r="C18" s="33"/>
      <c r="D18" s="33"/>
      <c r="E18" s="33"/>
      <c r="F18" s="33"/>
      <c r="G18" s="34"/>
    </row>
  </sheetData>
  <autoFilter ref="B2:C7"/>
  <mergeCells count="4">
    <mergeCell ref="B11:G12"/>
    <mergeCell ref="B14:G15"/>
    <mergeCell ref="B17:G18"/>
    <mergeCell ref="B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showGridLines="0" topLeftCell="A10" workbookViewId="0">
      <selection activeCell="P35" sqref="P35"/>
    </sheetView>
  </sheetViews>
  <sheetFormatPr defaultRowHeight="14.4" x14ac:dyDescent="0.3"/>
  <cols>
    <col min="1" max="1" width="21.109375" customWidth="1"/>
    <col min="2" max="2" width="16.109375" customWidth="1"/>
    <col min="3" max="3" width="4.33203125" customWidth="1"/>
    <col min="4" max="4" width="6.6640625" customWidth="1"/>
    <col min="5" max="6" width="3.44140625" customWidth="1"/>
    <col min="7" max="7" width="8.6640625" customWidth="1"/>
    <col min="8" max="8" width="11.109375" bestFit="1" customWidth="1"/>
    <col min="9" max="9" width="8.77734375" customWidth="1"/>
    <col min="10" max="10" width="6.6640625" customWidth="1"/>
    <col min="11" max="11" width="7.44140625" customWidth="1"/>
    <col min="12" max="12" width="6.5546875" customWidth="1"/>
    <col min="13" max="13" width="5.88671875" customWidth="1"/>
    <col min="14" max="14" width="6.33203125" customWidth="1"/>
    <col min="15" max="15" width="7.33203125" customWidth="1"/>
    <col min="16" max="16" width="5.109375" customWidth="1"/>
    <col min="17" max="17" width="6.77734375" customWidth="1"/>
    <col min="20" max="20" width="6.33203125" customWidth="1"/>
    <col min="21" max="21" width="9.109375" bestFit="1" customWidth="1"/>
    <col min="22" max="22" width="13.44140625" bestFit="1" customWidth="1"/>
    <col min="23" max="23" width="8.77734375" customWidth="1"/>
    <col min="24" max="24" width="10" bestFit="1" customWidth="1"/>
    <col min="25" max="25" width="9.88671875" bestFit="1" customWidth="1"/>
    <col min="26" max="26" width="8.109375" customWidth="1"/>
    <col min="27" max="27" width="8.77734375" customWidth="1"/>
    <col min="29" max="29" width="7.44140625" customWidth="1"/>
    <col min="30" max="30" width="14.33203125" bestFit="1" customWidth="1"/>
    <col min="31" max="31" width="10.33203125" bestFit="1" customWidth="1"/>
    <col min="32" max="32" width="11.33203125" bestFit="1" customWidth="1"/>
    <col min="33" max="33" width="9" bestFit="1" customWidth="1"/>
    <col min="34" max="34" width="13.33203125" bestFit="1" customWidth="1"/>
    <col min="35" max="35" width="12.33203125" bestFit="1" customWidth="1"/>
    <col min="36" max="36" width="5" customWidth="1"/>
    <col min="37" max="37" width="9.6640625" bestFit="1" customWidth="1"/>
    <col min="38" max="38" width="7.21875" customWidth="1"/>
    <col min="39" max="39" width="12.109375" bestFit="1" customWidth="1"/>
    <col min="40" max="40" width="11.88671875" bestFit="1" customWidth="1"/>
    <col min="41" max="41" width="13.44140625" bestFit="1" customWidth="1"/>
    <col min="42" max="42" width="12.44140625" bestFit="1" customWidth="1"/>
    <col min="43" max="43" width="9.77734375" bestFit="1" customWidth="1"/>
    <col min="44" max="44" width="5.6640625" customWidth="1"/>
    <col min="45" max="45" width="5.109375" customWidth="1"/>
    <col min="46" max="46" width="8.44140625" customWidth="1"/>
    <col min="47" max="47" width="7.33203125" customWidth="1"/>
    <col min="48" max="48" width="11.109375" bestFit="1" customWidth="1"/>
    <col min="49" max="49" width="12" bestFit="1" customWidth="1"/>
    <col min="50" max="50" width="9.44140625" bestFit="1" customWidth="1"/>
    <col min="51" max="51" width="9.109375" bestFit="1" customWidth="1"/>
  </cols>
  <sheetData>
    <row r="1" spans="1:5" x14ac:dyDescent="0.3">
      <c r="A1" s="9" t="s">
        <v>11</v>
      </c>
      <c r="B1" t="s">
        <v>481</v>
      </c>
    </row>
    <row r="2" spans="1:5" x14ac:dyDescent="0.3">
      <c r="A2" s="9" t="s">
        <v>8</v>
      </c>
      <c r="B2" t="s">
        <v>482</v>
      </c>
    </row>
    <row r="4" spans="1:5" x14ac:dyDescent="0.3">
      <c r="A4" s="9" t="s">
        <v>480</v>
      </c>
      <c r="B4" s="9" t="s">
        <v>7</v>
      </c>
    </row>
    <row r="5" spans="1:5" x14ac:dyDescent="0.3">
      <c r="A5" s="9" t="s">
        <v>12</v>
      </c>
      <c r="B5" t="s">
        <v>45</v>
      </c>
      <c r="C5" t="s">
        <v>32</v>
      </c>
      <c r="D5" t="s">
        <v>14</v>
      </c>
      <c r="E5" t="s">
        <v>19</v>
      </c>
    </row>
    <row r="6" spans="1:5" x14ac:dyDescent="0.3">
      <c r="A6" t="s">
        <v>21</v>
      </c>
      <c r="B6" s="10"/>
      <c r="C6" s="10">
        <v>3</v>
      </c>
      <c r="D6" s="10">
        <v>2</v>
      </c>
      <c r="E6" s="10">
        <v>2</v>
      </c>
    </row>
    <row r="7" spans="1:5" x14ac:dyDescent="0.3">
      <c r="A7" t="s">
        <v>17</v>
      </c>
      <c r="B7" s="10">
        <v>2</v>
      </c>
      <c r="C7" s="10">
        <v>1</v>
      </c>
      <c r="D7" s="10">
        <v>1</v>
      </c>
      <c r="E7" s="10">
        <v>2</v>
      </c>
    </row>
    <row r="8" spans="1:5" x14ac:dyDescent="0.3">
      <c r="A8" t="s">
        <v>28</v>
      </c>
      <c r="B8" s="10">
        <v>4</v>
      </c>
      <c r="C8" s="10">
        <v>7</v>
      </c>
      <c r="D8" s="10">
        <v>6</v>
      </c>
      <c r="E8" s="10">
        <v>3</v>
      </c>
    </row>
    <row r="32" ht="15" thickBot="1" x14ac:dyDescent="0.35"/>
    <row r="33" spans="2:13" ht="15" thickBot="1" x14ac:dyDescent="0.35">
      <c r="B33" s="35" t="s">
        <v>490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7"/>
    </row>
    <row r="34" spans="2:13" x14ac:dyDescent="0.3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8"/>
    </row>
    <row r="35" spans="2:13" x14ac:dyDescent="0.3">
      <c r="B35" s="48" t="s">
        <v>487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50"/>
    </row>
    <row r="36" spans="2:13" x14ac:dyDescent="0.3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8"/>
    </row>
    <row r="37" spans="2:13" x14ac:dyDescent="0.3">
      <c r="B37" s="51" t="s">
        <v>488</v>
      </c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</row>
    <row r="38" spans="2:13" x14ac:dyDescent="0.3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8"/>
    </row>
    <row r="39" spans="2:13" ht="14.4" customHeight="1" x14ac:dyDescent="0.3">
      <c r="B39" s="54" t="s">
        <v>489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6"/>
    </row>
    <row r="40" spans="2:13" ht="15" thickBot="1" x14ac:dyDescent="0.35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</row>
  </sheetData>
  <mergeCells count="4">
    <mergeCell ref="B35:M35"/>
    <mergeCell ref="B37:M37"/>
    <mergeCell ref="B39:M39"/>
    <mergeCell ref="B33:M3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5:R32"/>
  <sheetViews>
    <sheetView showGridLines="0" workbookViewId="0">
      <selection activeCell="C30" sqref="C30"/>
    </sheetView>
  </sheetViews>
  <sheetFormatPr defaultRowHeight="14.4" x14ac:dyDescent="0.3"/>
  <sheetData>
    <row r="25" spans="2:18" ht="15" thickBot="1" x14ac:dyDescent="0.35"/>
    <row r="26" spans="2:18" ht="15" thickBot="1" x14ac:dyDescent="0.35">
      <c r="C26" s="47"/>
      <c r="D26" s="47"/>
      <c r="E26" s="47"/>
      <c r="F26" s="47"/>
      <c r="G26" s="66"/>
      <c r="H26" s="67"/>
      <c r="I26" s="67" t="s">
        <v>490</v>
      </c>
      <c r="J26" s="67"/>
      <c r="K26" s="67"/>
      <c r="L26" s="68"/>
      <c r="M26" s="47"/>
      <c r="N26" s="47"/>
      <c r="O26" s="47"/>
      <c r="P26" s="47"/>
      <c r="Q26" s="47"/>
    </row>
    <row r="27" spans="2:18" x14ac:dyDescent="0.3">
      <c r="B27" s="11"/>
      <c r="C27" s="11"/>
      <c r="D27" s="11"/>
      <c r="E27" s="11"/>
      <c r="F27" s="11"/>
      <c r="G27" s="60"/>
      <c r="H27" s="61"/>
      <c r="I27" s="61"/>
      <c r="J27" s="61"/>
      <c r="K27" s="61"/>
      <c r="L27" s="62"/>
      <c r="M27" s="11"/>
      <c r="N27" s="11"/>
      <c r="O27" s="11"/>
      <c r="P27" s="11"/>
      <c r="Q27" s="11"/>
    </row>
    <row r="28" spans="2:18" x14ac:dyDescent="0.3">
      <c r="B28" s="47"/>
      <c r="C28" s="47"/>
      <c r="D28" s="47"/>
      <c r="E28" s="47"/>
      <c r="F28" s="47"/>
      <c r="G28" s="48" t="s">
        <v>491</v>
      </c>
      <c r="H28" s="49"/>
      <c r="I28" s="49"/>
      <c r="J28" s="49"/>
      <c r="K28" s="49"/>
      <c r="L28" s="50"/>
      <c r="M28" s="47"/>
      <c r="N28" s="47"/>
      <c r="O28" s="47"/>
      <c r="P28" s="47"/>
      <c r="Q28" s="47"/>
    </row>
    <row r="29" spans="2:18" x14ac:dyDescent="0.3">
      <c r="B29" s="11"/>
      <c r="C29" s="11"/>
      <c r="D29" s="11"/>
      <c r="E29" s="11"/>
      <c r="F29" s="11"/>
      <c r="G29" s="60"/>
      <c r="H29" s="61"/>
      <c r="I29" s="61"/>
      <c r="J29" s="61"/>
      <c r="K29" s="61"/>
      <c r="L29" s="62"/>
      <c r="M29" s="11"/>
      <c r="N29" s="11"/>
      <c r="O29" s="11"/>
      <c r="P29" s="11"/>
      <c r="Q29" s="11"/>
    </row>
    <row r="30" spans="2:18" x14ac:dyDescent="0.3">
      <c r="B30" s="47"/>
      <c r="C30" s="47"/>
      <c r="D30" s="47"/>
      <c r="E30" s="47"/>
      <c r="F30" s="47"/>
      <c r="G30" s="48" t="s">
        <v>492</v>
      </c>
      <c r="H30" s="49"/>
      <c r="I30" s="49"/>
      <c r="J30" s="49"/>
      <c r="K30" s="49"/>
      <c r="L30" s="50"/>
      <c r="M30" s="47"/>
      <c r="N30" s="47"/>
      <c r="O30" s="47"/>
      <c r="P30" s="47"/>
      <c r="Q30" s="47"/>
      <c r="R30" s="25"/>
    </row>
    <row r="31" spans="2:18" x14ac:dyDescent="0.3">
      <c r="B31" s="11"/>
      <c r="C31" s="11"/>
      <c r="D31" s="11"/>
      <c r="E31" s="11"/>
      <c r="F31" s="11"/>
      <c r="G31" s="60"/>
      <c r="H31" s="61"/>
      <c r="I31" s="61"/>
      <c r="J31" s="61"/>
      <c r="K31" s="61"/>
      <c r="L31" s="62"/>
      <c r="M31" s="11"/>
      <c r="N31" s="11"/>
      <c r="O31" s="11"/>
      <c r="P31" s="11"/>
      <c r="Q31" s="11"/>
    </row>
    <row r="32" spans="2:18" ht="15" thickBot="1" x14ac:dyDescent="0.35">
      <c r="B32" s="47"/>
      <c r="C32" s="47"/>
      <c r="D32" s="47"/>
      <c r="E32" s="47"/>
      <c r="F32" s="47"/>
      <c r="G32" s="63" t="s">
        <v>493</v>
      </c>
      <c r="H32" s="64"/>
      <c r="I32" s="64"/>
      <c r="J32" s="64"/>
      <c r="K32" s="64"/>
      <c r="L32" s="65"/>
      <c r="M32" s="47"/>
      <c r="N32" s="47"/>
      <c r="O32" s="47"/>
      <c r="P32" s="47"/>
      <c r="Q32" s="47"/>
    </row>
  </sheetData>
  <mergeCells count="3">
    <mergeCell ref="G28:L28"/>
    <mergeCell ref="G30:L30"/>
    <mergeCell ref="G32:L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3:O31"/>
  <sheetViews>
    <sheetView showGridLines="0" workbookViewId="0">
      <selection sqref="A1:A1048576"/>
    </sheetView>
  </sheetViews>
  <sheetFormatPr defaultRowHeight="14.4" x14ac:dyDescent="0.3"/>
  <sheetData>
    <row r="23" spans="4:15" ht="15" thickBot="1" x14ac:dyDescent="0.35"/>
    <row r="24" spans="4:15" ht="15" thickBot="1" x14ac:dyDescent="0.35">
      <c r="D24" s="35" t="s">
        <v>490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</row>
    <row r="25" spans="4:15" x14ac:dyDescent="0.3"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</row>
    <row r="26" spans="4:15" x14ac:dyDescent="0.3">
      <c r="D26" s="48" t="s">
        <v>494</v>
      </c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/>
    </row>
    <row r="27" spans="4:15" x14ac:dyDescent="0.3"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spans="4:15" x14ac:dyDescent="0.3">
      <c r="D28" s="48" t="s">
        <v>495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</row>
    <row r="29" spans="4:15" x14ac:dyDescent="0.3"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8"/>
    </row>
    <row r="30" spans="4:15" x14ac:dyDescent="0.3">
      <c r="D30" s="29" t="s">
        <v>496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</row>
    <row r="31" spans="4:15" ht="15" thickBot="1" x14ac:dyDescent="0.35">
      <c r="D31" s="57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9"/>
    </row>
  </sheetData>
  <mergeCells count="4">
    <mergeCell ref="D24:O24"/>
    <mergeCell ref="D26:O26"/>
    <mergeCell ref="D28:O28"/>
    <mergeCell ref="D30:O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5:N33"/>
  <sheetViews>
    <sheetView showGridLines="0" tabSelected="1" topLeftCell="A2" workbookViewId="0">
      <selection activeCell="Q30" sqref="Q30"/>
    </sheetView>
  </sheetViews>
  <sheetFormatPr defaultRowHeight="14.4" x14ac:dyDescent="0.3"/>
  <sheetData>
    <row r="25" spans="4:14" ht="15" thickBot="1" x14ac:dyDescent="0.35"/>
    <row r="26" spans="4:14" ht="15" thickBot="1" x14ac:dyDescent="0.35">
      <c r="D26" s="73" t="s">
        <v>490</v>
      </c>
      <c r="E26" s="74"/>
      <c r="F26" s="74"/>
      <c r="G26" s="74"/>
      <c r="H26" s="74"/>
      <c r="I26" s="74"/>
      <c r="J26" s="74"/>
      <c r="K26" s="74"/>
      <c r="L26" s="74"/>
      <c r="M26" s="74"/>
      <c r="N26" s="75"/>
    </row>
    <row r="27" spans="4:14" x14ac:dyDescent="0.3"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8"/>
    </row>
    <row r="28" spans="4:14" x14ac:dyDescent="0.3">
      <c r="D28" s="69" t="s">
        <v>497</v>
      </c>
      <c r="E28" s="70"/>
      <c r="F28" s="70"/>
      <c r="G28" s="70"/>
      <c r="H28" s="70"/>
      <c r="I28" s="70"/>
      <c r="J28" s="70"/>
      <c r="K28" s="70"/>
      <c r="L28" s="70"/>
      <c r="M28" s="70"/>
      <c r="N28" s="71"/>
    </row>
    <row r="29" spans="4:14" x14ac:dyDescent="0.3"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8"/>
    </row>
    <row r="30" spans="4:14" x14ac:dyDescent="0.3">
      <c r="D30" s="69" t="s">
        <v>498</v>
      </c>
      <c r="E30" s="70"/>
      <c r="F30" s="70"/>
      <c r="G30" s="70"/>
      <c r="H30" s="70"/>
      <c r="I30" s="70"/>
      <c r="J30" s="70"/>
      <c r="K30" s="70"/>
      <c r="L30" s="70"/>
      <c r="M30" s="70"/>
      <c r="N30" s="71"/>
    </row>
    <row r="31" spans="4:14" x14ac:dyDescent="0.3"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8"/>
    </row>
    <row r="32" spans="4:14" x14ac:dyDescent="0.3">
      <c r="D32" s="72" t="s">
        <v>499</v>
      </c>
      <c r="E32" s="70"/>
      <c r="F32" s="70"/>
      <c r="G32" s="70"/>
      <c r="H32" s="70"/>
      <c r="I32" s="70"/>
      <c r="J32" s="70"/>
      <c r="K32" s="70"/>
      <c r="L32" s="70"/>
      <c r="M32" s="70"/>
      <c r="N32" s="71"/>
    </row>
    <row r="33" spans="4:14" ht="15" thickBot="1" x14ac:dyDescent="0.35"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9"/>
    </row>
  </sheetData>
  <mergeCells count="4">
    <mergeCell ref="D26:N26"/>
    <mergeCell ref="D28:N28"/>
    <mergeCell ref="D30:N30"/>
    <mergeCell ref="D32:N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Sheet</vt:lpstr>
      <vt:lpstr>DashBoard</vt:lpstr>
      <vt:lpstr>KPI Sheet</vt:lpstr>
      <vt:lpstr>Loan Decision</vt:lpstr>
      <vt:lpstr>Borrower Quality Distribution</vt:lpstr>
      <vt:lpstr>Risk Analysis</vt:lpstr>
      <vt:lpstr>Collateral Exposure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2026-05-20T10:18:15Z</dcterms:created>
  <dcterms:modified xsi:type="dcterms:W3CDTF">2026-05-23T19:40:32Z</dcterms:modified>
</cp:coreProperties>
</file>