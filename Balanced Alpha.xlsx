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32" firstSheet="5" activeTab="9"/>
  </bookViews>
  <sheets>
    <sheet name="Executive Summary" sheetId="1" r:id="rId1"/>
    <sheet name="Portfolio Holdings" sheetId="2" r:id="rId2"/>
    <sheet name="MPT Analysis" sheetId="3" r:id="rId3"/>
    <sheet name="Profit Booking Strategy" sheetId="4" r:id="rId4"/>
    <sheet name="Risk Management" sheetId="5" r:id="rId5"/>
    <sheet name="Rebalancing Strategy" sheetId="6" r:id="rId6"/>
    <sheet name="Benchmarking" sheetId="7" r:id="rId7"/>
    <sheet name="Monitoring Dashboard" sheetId="8" r:id="rId8"/>
    <sheet name="Action Plan Timeline" sheetId="9" r:id="rId9"/>
    <sheet name="Key Metrics Summary" sheetId="10" r:id="rId10"/>
  </sheets>
  <definedNames>
    <definedName name="_xlnm.Print_Area" localSheetId="6">Benchmarking!$A$1:$C$33</definedName>
    <definedName name="_xlnm.Print_Area" localSheetId="0">'Executive Summary'!$A$1:$C$23</definedName>
    <definedName name="_xlnm.Print_Area" localSheetId="9">'Key Metrics Summary'!$A$1:$C$38</definedName>
    <definedName name="_xlnm.Print_Area" localSheetId="1">'Portfolio Holdings'!$B$2:$P$20</definedName>
  </definedNames>
  <calcPr calcId="162913"/>
</workbook>
</file>

<file path=xl/calcChain.xml><?xml version="1.0" encoding="utf-8"?>
<calcChain xmlns="http://schemas.openxmlformats.org/spreadsheetml/2006/main">
  <c r="B4" i="5" l="1"/>
  <c r="C27" i="6"/>
  <c r="C24" i="6"/>
  <c r="C23" i="6"/>
  <c r="B13" i="5"/>
  <c r="B14" i="5" s="1"/>
  <c r="B28" i="10" s="1"/>
  <c r="H20" i="2"/>
  <c r="P20" i="2" s="1"/>
  <c r="J20" i="2"/>
  <c r="L20" i="2"/>
  <c r="H7" i="2"/>
  <c r="C17" i="6" s="1"/>
  <c r="H8" i="2"/>
  <c r="C20" i="6" s="1"/>
  <c r="H9" i="2"/>
  <c r="C18" i="6" s="1"/>
  <c r="H10" i="2"/>
  <c r="H11" i="2"/>
  <c r="H12" i="2"/>
  <c r="H13" i="2"/>
  <c r="C22" i="6" s="1"/>
  <c r="H14" i="2"/>
  <c r="C19" i="6" s="1"/>
  <c r="H15" i="2"/>
  <c r="H16" i="2"/>
  <c r="C25" i="6" s="1"/>
  <c r="H17" i="2"/>
  <c r="C26" i="6" s="1"/>
  <c r="H18" i="2"/>
  <c r="C21" i="6" s="1"/>
  <c r="H19" i="2"/>
  <c r="H6" i="2"/>
  <c r="O21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6" i="2"/>
  <c r="B16" i="5" l="1"/>
  <c r="B30" i="10" s="1"/>
  <c r="B27" i="10"/>
  <c r="L21" i="2"/>
  <c r="B10" i="3" s="1"/>
  <c r="J21" i="2"/>
  <c r="B12" i="3" s="1"/>
  <c r="B19" i="7" l="1"/>
  <c r="B14" i="1"/>
  <c r="B20" i="7"/>
  <c r="B15" i="1"/>
  <c r="B6" i="8" l="1"/>
  <c r="B14" i="10"/>
  <c r="B13" i="10"/>
  <c r="B7" i="8"/>
  <c r="P7" i="2" l="1"/>
  <c r="Q7" i="2" s="1"/>
  <c r="P8" i="2"/>
  <c r="Q8" i="2" s="1"/>
  <c r="P9" i="2"/>
  <c r="Q9" i="2" s="1"/>
  <c r="P10" i="2"/>
  <c r="Q10" i="2" s="1"/>
  <c r="P11" i="2"/>
  <c r="Q11" i="2" s="1"/>
  <c r="P12" i="2"/>
  <c r="Q12" i="2" s="1"/>
  <c r="P13" i="2"/>
  <c r="Q13" i="2" s="1"/>
  <c r="P14" i="2"/>
  <c r="Q14" i="2" s="1"/>
  <c r="P15" i="2"/>
  <c r="Q15" i="2" s="1"/>
  <c r="P16" i="2"/>
  <c r="Q16" i="2" s="1"/>
  <c r="P17" i="2"/>
  <c r="Q17" i="2" s="1"/>
  <c r="P18" i="2"/>
  <c r="Q18" i="2" s="1"/>
  <c r="P19" i="2"/>
  <c r="Q19" i="2" s="1"/>
  <c r="Q20" i="2"/>
  <c r="P6" i="2"/>
  <c r="Q6" i="2" s="1"/>
  <c r="B26" i="4" l="1"/>
  <c r="B35" i="10" s="1"/>
  <c r="P21" i="2"/>
  <c r="B4" i="3" l="1"/>
  <c r="B24" i="4"/>
  <c r="B25" i="4" l="1"/>
  <c r="C27" i="8"/>
  <c r="C26" i="8"/>
  <c r="C29" i="8"/>
  <c r="C28" i="8"/>
  <c r="B33" i="10"/>
  <c r="B5" i="3"/>
  <c r="B23" i="1"/>
  <c r="B12" i="1"/>
  <c r="C15" i="9"/>
  <c r="B17" i="7"/>
  <c r="B5" i="8" s="1"/>
  <c r="C14" i="9"/>
  <c r="B20" i="3" l="1"/>
  <c r="B13" i="1"/>
  <c r="B18" i="7"/>
  <c r="B19" i="3"/>
  <c r="B7" i="3"/>
  <c r="B18" i="3" s="1"/>
  <c r="B34" i="10"/>
  <c r="B38" i="10"/>
  <c r="B37" i="10"/>
  <c r="B36" i="10"/>
  <c r="B21" i="10" l="1"/>
  <c r="B17" i="1"/>
  <c r="B22" i="10"/>
  <c r="B18" i="1"/>
  <c r="B17" i="3"/>
  <c r="B22" i="1"/>
  <c r="B19" i="1"/>
  <c r="B23" i="10"/>
  <c r="B21" i="7" l="1"/>
  <c r="B20" i="10"/>
  <c r="B16" i="1"/>
</calcChain>
</file>

<file path=xl/sharedStrings.xml><?xml version="1.0" encoding="utf-8"?>
<sst xmlns="http://schemas.openxmlformats.org/spreadsheetml/2006/main" count="686" uniqueCount="510">
  <si>
    <t>6-Month Investment Horizon: Dec 2025 - Jun 2026</t>
  </si>
  <si>
    <t>PORTFOLIO OVERVIEW</t>
  </si>
  <si>
    <t>Total Investment Amount</t>
  </si>
  <si>
    <t>Deployed Capital</t>
  </si>
  <si>
    <t>Cash Reserve (10%)</t>
  </si>
  <si>
    <t>Number of Stocks</t>
  </si>
  <si>
    <t>Investment Horizon</t>
  </si>
  <si>
    <t>KEY PERFORMANCE METRICS</t>
  </si>
  <si>
    <t>Expected Return (6M)</t>
  </si>
  <si>
    <t>Expected Annual Return</t>
  </si>
  <si>
    <t>Portfolio Volatility (σ)</t>
  </si>
  <si>
    <t>Portfolio Beta (β)</t>
  </si>
  <si>
    <t>Sharpe Ratio</t>
  </si>
  <si>
    <t>Treynor Ratio</t>
  </si>
  <si>
    <t>Jensen Alpha</t>
  </si>
  <si>
    <t>Information Ratio</t>
  </si>
  <si>
    <t>Nifty 50 Expected Return</t>
  </si>
  <si>
    <t>Annual Outperformance</t>
  </si>
  <si>
    <t>6M Outperformance</t>
  </si>
  <si>
    <t>₹1,000,000</t>
  </si>
  <si>
    <t>₹900,000</t>
  </si>
  <si>
    <t>₹100,000</t>
  </si>
  <si>
    <t>15</t>
  </si>
  <si>
    <t>6 months</t>
  </si>
  <si>
    <t>8.16%</t>
  </si>
  <si>
    <t>16.32%</t>
  </si>
  <si>
    <t>4.70%</t>
  </si>
  <si>
    <t>11.62%</t>
  </si>
  <si>
    <t>Complete capital</t>
  </si>
  <si>
    <t>90% in 15 stocks</t>
  </si>
  <si>
    <t>Safety buffer</t>
  </si>
  <si>
    <t>Diversified portfolio</t>
  </si>
  <si>
    <t>Dec 2025 - Jun 2026</t>
  </si>
  <si>
    <t>Annualized projection</t>
  </si>
  <si>
    <t>Standard deviation</t>
  </si>
  <si>
    <t>Defensive positioning</t>
  </si>
  <si>
    <t>Good (&gt;0.4 threshold)</t>
  </si>
  <si>
    <t>Systematic risk return</t>
  </si>
  <si>
    <t>Outperformance vs CAPM</t>
  </si>
  <si>
    <t>Excellent (&gt;2.0)</t>
  </si>
  <si>
    <t>Benchmark comparison</t>
  </si>
  <si>
    <t>Portfolio vs Nifty 50</t>
  </si>
  <si>
    <t>HDFC Bank</t>
  </si>
  <si>
    <t>ICICI Bank</t>
  </si>
  <si>
    <t>Bajaj Finance</t>
  </si>
  <si>
    <t>Infosys</t>
  </si>
  <si>
    <t>TCS</t>
  </si>
  <si>
    <t>Reliance Industries</t>
  </si>
  <si>
    <t>Larsen &amp; Toubro</t>
  </si>
  <si>
    <t>Sun Pharma</t>
  </si>
  <si>
    <t>HUL</t>
  </si>
  <si>
    <t>ITC</t>
  </si>
  <si>
    <t>Bharti Airtel</t>
  </si>
  <si>
    <t>BSE</t>
  </si>
  <si>
    <t>Mahindra &amp; Mahindra</t>
  </si>
  <si>
    <t>Tata Power</t>
  </si>
  <si>
    <t>Ashok Leyland</t>
  </si>
  <si>
    <t>HDFCBANK</t>
  </si>
  <si>
    <t>ICICIBANK</t>
  </si>
  <si>
    <t>BAJFINANCE</t>
  </si>
  <si>
    <t>INFY</t>
  </si>
  <si>
    <t>RELIANCE</t>
  </si>
  <si>
    <t>LT</t>
  </si>
  <si>
    <t>SUNPHARMA</t>
  </si>
  <si>
    <t>HINDUNILVR</t>
  </si>
  <si>
    <t>BHARTIARTL</t>
  </si>
  <si>
    <t>M&amp;M</t>
  </si>
  <si>
    <t>TATAPOWER</t>
  </si>
  <si>
    <t>ASHOKLEY</t>
  </si>
  <si>
    <t>Banking</t>
  </si>
  <si>
    <t>NBFC</t>
  </si>
  <si>
    <t>IT</t>
  </si>
  <si>
    <t>Energy</t>
  </si>
  <si>
    <t>Infrastructure</t>
  </si>
  <si>
    <t>Pharma</t>
  </si>
  <si>
    <t>FMCG</t>
  </si>
  <si>
    <t>Telecom</t>
  </si>
  <si>
    <t>Finance</t>
  </si>
  <si>
    <t>Auto</t>
  </si>
  <si>
    <t>Utilities</t>
  </si>
  <si>
    <t>8%</t>
  </si>
  <si>
    <t>7%</t>
  </si>
  <si>
    <t>6%</t>
  </si>
  <si>
    <t>5%</t>
  </si>
  <si>
    <t>4%</t>
  </si>
  <si>
    <t>2%</t>
  </si>
  <si>
    <t>20%</t>
  </si>
  <si>
    <t>18%</t>
  </si>
  <si>
    <t>25%</t>
  </si>
  <si>
    <t>22%</t>
  </si>
  <si>
    <t>21%</t>
  </si>
  <si>
    <t>19%</t>
  </si>
  <si>
    <t>28%</t>
  </si>
  <si>
    <t>Stock Name</t>
  </si>
  <si>
    <t>Ticker</t>
  </si>
  <si>
    <t>Sector</t>
  </si>
  <si>
    <t>Weight %</t>
  </si>
  <si>
    <t>Current Price</t>
  </si>
  <si>
    <t>Target 6M</t>
  </si>
  <si>
    <t>Upside %</t>
  </si>
  <si>
    <t>Beta</t>
  </si>
  <si>
    <t>Volatility %</t>
  </si>
  <si>
    <t>Dividend Yield %</t>
  </si>
  <si>
    <t>ROE %</t>
  </si>
  <si>
    <t>Target Value</t>
  </si>
  <si>
    <t>EXPECTED RETURNS</t>
  </si>
  <si>
    <t>Portfolio Expected Return (6M)</t>
  </si>
  <si>
    <t>Portfolio Expected Return (Annual)</t>
  </si>
  <si>
    <t>Outperformance (Annual)</t>
  </si>
  <si>
    <t>RISK METRICS</t>
  </si>
  <si>
    <t>Nifty 50 Volatility</t>
  </si>
  <si>
    <t>Risk-Free Rate</t>
  </si>
  <si>
    <t>Market Risk Premium</t>
  </si>
  <si>
    <t>RISK-ADJUSTED RETURN METRICS</t>
  </si>
  <si>
    <t>KEY INSIGHTS</t>
  </si>
  <si>
    <t>Portfolio Beta 0.906</t>
  </si>
  <si>
    <t>Value</t>
  </si>
  <si>
    <t>15.00%</t>
  </si>
  <si>
    <t>6.63%</t>
  </si>
  <si>
    <t>8.00%</t>
  </si>
  <si>
    <t>GOOD</t>
  </si>
  <si>
    <t>EXCELLENT</t>
  </si>
  <si>
    <t>POSITIVE</t>
  </si>
  <si>
    <t>Interpretation</t>
  </si>
  <si>
    <t>Target return over 6 months</t>
  </si>
  <si>
    <t>Annualized expected return</t>
  </si>
  <si>
    <t>Portfolio alpha generation</t>
  </si>
  <si>
    <t>Standard deviation (annualized)</t>
  </si>
  <si>
    <t>Benchmark volatility</t>
  </si>
  <si>
    <t>Portfolio moves 90.6% with market</t>
  </si>
  <si>
    <t>10-year G-Sec yield</t>
  </si>
  <si>
    <t>Historical equity risk premium</t>
  </si>
  <si>
    <t>Good (&gt;0.4) - Return per unit of risk</t>
  </si>
  <si>
    <t>Systematic risk-adjusted return</t>
  </si>
  <si>
    <t>Excellent (&gt;2.0) - Active management skill</t>
  </si>
  <si>
    <t>Lower volatility than market</t>
  </si>
  <si>
    <t>Strong risk-adjusted returns</t>
  </si>
  <si>
    <t>&gt;2.0 indicates skilled management</t>
  </si>
  <si>
    <t>Consistent outperformance</t>
  </si>
  <si>
    <t>MODERN PORTFOLIO THEORY ANALYSIS</t>
  </si>
  <si>
    <t>TIER 1 - EARLY BOOKING</t>
  </si>
  <si>
    <t>Trigger</t>
  </si>
  <si>
    <t>Quantity to Sell</t>
  </si>
  <si>
    <t>Use Proceeds</t>
  </si>
  <si>
    <t>TIER 2 - PARTIAL BOOKING</t>
  </si>
  <si>
    <t>TIER 3 - FINAL EXIT</t>
  </si>
  <si>
    <t>PRIORITY BY PERFORMANCE</t>
  </si>
  <si>
    <t>HIGH (&gt;15% up)</t>
  </si>
  <si>
    <t>MEDIUM (8-15% up)</t>
  </si>
  <si>
    <t>LOW (&lt;8% up)</t>
  </si>
  <si>
    <t>EXPECTED GAINS</t>
  </si>
  <si>
    <t>Total Portfolio Gains</t>
  </si>
  <si>
    <t>Average Gain per Stock</t>
  </si>
  <si>
    <t>Median Gain per Stock</t>
  </si>
  <si>
    <t>Details</t>
  </si>
  <si>
    <t>Stock up 3-6% (~33% of upside to target)</t>
  </si>
  <si>
    <t>33% of position</t>
  </si>
  <si>
    <t>Rebalance or add to cash</t>
  </si>
  <si>
    <t>Stock up 6-10% (~66% of upside to target)</t>
  </si>
  <si>
    <t>50% of remaining (25% of original)</t>
  </si>
  <si>
    <t>Dividend reinvestment</t>
  </si>
  <si>
    <t>Stock reaches target price (100% upside)</t>
  </si>
  <si>
    <t>Remaining 17%</t>
  </si>
  <si>
    <t>Portfolio rebalancing</t>
  </si>
  <si>
    <t>Action</t>
  </si>
  <si>
    <t>Book profits immediately</t>
  </si>
  <si>
    <t>Standard 3-tier approach</t>
  </si>
  <si>
    <t>Hold longer</t>
  </si>
  <si>
    <t>Amount</t>
  </si>
  <si>
    <t>Lock in quick gains</t>
  </si>
  <si>
    <t>Reduce average cost basis</t>
  </si>
  <si>
    <t>Secure core profits</t>
  </si>
  <si>
    <t>Reduce exposure</t>
  </si>
  <si>
    <t>Complete position exit</t>
  </si>
  <si>
    <t>Final profit realization</t>
  </si>
  <si>
    <t>Timeline</t>
  </si>
  <si>
    <t>At Tier 1 + 2</t>
  </si>
  <si>
    <t>Execute as planned</t>
  </si>
  <si>
    <t>Allow more time</t>
  </si>
  <si>
    <t>Notes</t>
  </si>
  <si>
    <t>From profit booking</t>
  </si>
  <si>
    <t>Mean across 15 stocks</t>
  </si>
  <si>
    <t>Median across 15 stocks</t>
  </si>
  <si>
    <t>PROFIT BOOKING STRATEGY (3-TIER PYRAMID)</t>
  </si>
  <si>
    <t>CURRENT RISK PROFILE</t>
  </si>
  <si>
    <t>Portfolio Beta</t>
  </si>
  <si>
    <t>Portfolio Volatility</t>
  </si>
  <si>
    <t>Max Single Position</t>
  </si>
  <si>
    <t>Largest Sector Exposure</t>
  </si>
  <si>
    <t>Cash Reserve</t>
  </si>
  <si>
    <t>IF 30% MARKET FALL OCCURS</t>
  </si>
  <si>
    <t>Market Decline</t>
  </si>
  <si>
    <t>Expected Portfolio Decline</t>
  </si>
  <si>
    <t>Estimated Loss Amount</t>
  </si>
  <si>
    <t>Portfolio Value After Fall</t>
  </si>
  <si>
    <t>Cash Buffer Available</t>
  </si>
  <si>
    <t>Total Dry Powder</t>
  </si>
  <si>
    <t>IMMEDIATE ACTIONS (Day 1-2)</t>
  </si>
  <si>
    <t>Do NOT Panic Sell</t>
  </si>
  <si>
    <t>Review Fundamental Thesis</t>
  </si>
  <si>
    <t>Check Stop Loss Triggers</t>
  </si>
  <si>
    <t>Monitor Cash Position</t>
  </si>
  <si>
    <t>SHORT-TERM ACTIONS (Week 1-2)</t>
  </si>
  <si>
    <t>Rebalance Portfolio</t>
  </si>
  <si>
    <t>Dollar-Cost Average</t>
  </si>
  <si>
    <t>Deploy Cash</t>
  </si>
  <si>
    <t>Update Risk Metrics</t>
  </si>
  <si>
    <t>TACTICAL DEPLOYMENT PROTOCOL</t>
  </si>
  <si>
    <t>Conservative</t>
  </si>
  <si>
    <t>Aggressive</t>
  </si>
  <si>
    <t>Very Aggressive</t>
  </si>
  <si>
    <t>Maximum</t>
  </si>
  <si>
    <t>RISK CONTROLS</t>
  </si>
  <si>
    <t>Stop Loss Orders</t>
  </si>
  <si>
    <t>Position Limits</t>
  </si>
  <si>
    <t>Sector Limits</t>
  </si>
  <si>
    <t>Volatility Limit</t>
  </si>
  <si>
    <t>Hedge Strategies</t>
  </si>
  <si>
    <t>Correlation Monitoring</t>
  </si>
  <si>
    <t>Crisis Team</t>
  </si>
  <si>
    <t>16%</t>
  </si>
  <si>
    <t>Stick to strategy</t>
  </si>
  <si>
    <t>Check thesis integrity</t>
  </si>
  <si>
    <t>Exit at -5% only</t>
  </si>
  <si>
    <t>Ensure buffer maintained</t>
  </si>
  <si>
    <t>Buy quality at lower prices</t>
  </si>
  <si>
    <t>Staged buying approach</t>
  </si>
  <si>
    <t>25-50% of buffer</t>
  </si>
  <si>
    <t>Recalculate beta/volatility</t>
  </si>
  <si>
    <t>10-15% fall</t>
  </si>
  <si>
    <t>15-25% fall</t>
  </si>
  <si>
    <t>25-35% fall</t>
  </si>
  <si>
    <t>&gt;35% fall</t>
  </si>
  <si>
    <t>Mechanism</t>
  </si>
  <si>
    <t>5% below current (AUTOMATIC)</t>
  </si>
  <si>
    <t>Max 12% per stock (Current: 8%)</t>
  </si>
  <si>
    <t>Max 20% per sector (Current: 16%)</t>
  </si>
  <si>
    <t>Puts, Collars, Spreads available</t>
  </si>
  <si>
    <t>Reduce if &gt;0.85</t>
  </si>
  <si>
    <t>Portfolio Manager, Risk Officer, Analyst</t>
  </si>
  <si>
    <t>Status</t>
  </si>
  <si>
    <t>DEFENSIVE (Lower than market)</t>
  </si>
  <si>
    <t>ACCEPTABLE (&lt;25% limit)</t>
  </si>
  <si>
    <t>SAFE (&lt;12% limit)</t>
  </si>
  <si>
    <t>SAFE (&lt;20% limit)</t>
  </si>
  <si>
    <t>10% buffer maintained</t>
  </si>
  <si>
    <t>Impact</t>
  </si>
  <si>
    <t>Nifty 50 down 30%</t>
  </si>
  <si>
    <t>Beta 0.906 × 30%</t>
  </si>
  <si>
    <t>From ₹900,000 deployed</t>
  </si>
  <si>
    <t>Recovery opportunity</t>
  </si>
  <si>
    <t>For tactical buying</t>
  </si>
  <si>
    <t>Emergency buying power</t>
  </si>
  <si>
    <t>Priority</t>
  </si>
  <si>
    <t>CRITICAL</t>
  </si>
  <si>
    <t>HIGH</t>
  </si>
  <si>
    <t>AUTOMATIC</t>
  </si>
  <si>
    <t>MEDIUM</t>
  </si>
  <si>
    <t>Cash Deployed</t>
  </si>
  <si>
    <t>Hold cash</t>
  </si>
  <si>
    <t>₹25,000 (25%)</t>
  </si>
  <si>
    <t>₹50-75,000 (50-75%)</t>
  </si>
  <si>
    <t>Full ₹100,000</t>
  </si>
  <si>
    <t>ACTIVE</t>
  </si>
  <si>
    <t>ON DEMAND</t>
  </si>
  <si>
    <t>MONTHLY</t>
  </si>
  <si>
    <t>STANDBY</t>
  </si>
  <si>
    <t>RISK MANAGEMENT PLAN - 30% MARKET FALL SCENARIO</t>
  </si>
  <si>
    <t>REBALANCING FREQUENCY</t>
  </si>
  <si>
    <t>PRIMARY</t>
  </si>
  <si>
    <t>SECONDARY</t>
  </si>
  <si>
    <t>TERTIARY</t>
  </si>
  <si>
    <t>REBALANCING CRITERIA</t>
  </si>
  <si>
    <t>Weight Deviation</t>
  </si>
  <si>
    <t>Performance Divergence</t>
  </si>
  <si>
    <t>Volatility Spike</t>
  </si>
  <si>
    <t>Fundamental Change</t>
  </si>
  <si>
    <t>Correlation Analysis</t>
  </si>
  <si>
    <t>Sector Rotation</t>
  </si>
  <si>
    <t>SECTOR ALLOCATION</t>
  </si>
  <si>
    <t>Banking &amp; Finance</t>
  </si>
  <si>
    <t>6-MONTH REBALANCING CALENDAR</t>
  </si>
  <si>
    <t>Initial Deployment</t>
  </si>
  <si>
    <t>Monthly Review #1</t>
  </si>
  <si>
    <t>Monthly Review #2</t>
  </si>
  <si>
    <t>QUARTERLY REBALANCE #1</t>
  </si>
  <si>
    <t>Monthly Review #3</t>
  </si>
  <si>
    <t>Monthly Review #4</t>
  </si>
  <si>
    <t>QUARTERLY REBALANCE #2 + EXIT</t>
  </si>
  <si>
    <t>Schedule</t>
  </si>
  <si>
    <t>Quarterly</t>
  </si>
  <si>
    <t>Monthly Reviews</t>
  </si>
  <si>
    <t>Event-Driven</t>
  </si>
  <si>
    <t>±5% from target</t>
  </si>
  <si>
    <t>&gt;15% underperformance vs sector</t>
  </si>
  <si>
    <t>&gt;35% annualized</t>
  </si>
  <si>
    <t>Dividend cut, downgrade, mgmt change</t>
  </si>
  <si>
    <t>&gt;0.85 with portfolio</t>
  </si>
  <si>
    <t>Quarterly momentum review</t>
  </si>
  <si>
    <t>15%</t>
  </si>
  <si>
    <t>11%</t>
  </si>
  <si>
    <t>Date</t>
  </si>
  <si>
    <t>Dec 2025</t>
  </si>
  <si>
    <t>Jan 2026</t>
  </si>
  <si>
    <t>Feb 2026</t>
  </si>
  <si>
    <t>Mar 2026</t>
  </si>
  <si>
    <t>Apr 2026</t>
  </si>
  <si>
    <t>May 2026</t>
  </si>
  <si>
    <t>Jun 2026</t>
  </si>
  <si>
    <t>Dec 2025, Mar 2026, Jun 2026</t>
  </si>
  <si>
    <t>Every month-end for drift monitoring</t>
  </si>
  <si>
    <t>Triggered by major events/fundamentals</t>
  </si>
  <si>
    <t>Rebalance immediately (HIGH)</t>
  </si>
  <si>
    <t>Review thesis, reduce 50% (MEDIUM)</t>
  </si>
  <si>
    <t>Trim position 50% (HIGH)</t>
  </si>
  <si>
    <t>Exit or reduce (CRITICAL)</t>
  </si>
  <si>
    <t>Reduce one position (MEDIUM)</t>
  </si>
  <si>
    <t>Shift weights (MEDIUM-HIGH)</t>
  </si>
  <si>
    <t>Avg Return %</t>
  </si>
  <si>
    <t>Event</t>
  </si>
  <si>
    <t>Deploy ₹900,000 across 15 stocks</t>
  </si>
  <si>
    <t>Performance tracking</t>
  </si>
  <si>
    <t>Drift monitoring</t>
  </si>
  <si>
    <t>Major rebalancing event</t>
  </si>
  <si>
    <t>Mid-horizon assessment</t>
  </si>
  <si>
    <t>Final month preparation</t>
  </si>
  <si>
    <t>Portfolio exit &amp; profit realization</t>
  </si>
  <si>
    <t>REBALANCING STRATEGY &amp; FRAMEWORK</t>
  </si>
  <si>
    <t>PRIMARY BENCHMARK</t>
  </si>
  <si>
    <t>Index Name</t>
  </si>
  <si>
    <t>Expected Return</t>
  </si>
  <si>
    <t>Volatility</t>
  </si>
  <si>
    <t>SECONDARY BENCHMARKS</t>
  </si>
  <si>
    <t>Nifty IT</t>
  </si>
  <si>
    <t>Nifty Bank</t>
  </si>
  <si>
    <t>Nifty FMCG</t>
  </si>
  <si>
    <t>Nifty Auto</t>
  </si>
  <si>
    <t>Nifty Pharma</t>
  </si>
  <si>
    <t>Nifty Infrastructure</t>
  </si>
  <si>
    <t>PORTFOLIO VS BENCHMARKS</t>
  </si>
  <si>
    <t>Expected Return (Annual)</t>
  </si>
  <si>
    <t>BENCHMARKING FREQUENCY</t>
  </si>
  <si>
    <t>Daily</t>
  </si>
  <si>
    <t>Weekly</t>
  </si>
  <si>
    <t>Monthly</t>
  </si>
  <si>
    <t>PERFORMANCE THRESHOLDS</t>
  </si>
  <si>
    <t>Return &lt;Target by 2%</t>
  </si>
  <si>
    <t>Underperform Nifty &gt;5%</t>
  </si>
  <si>
    <t>Volatility &gt;25%</t>
  </si>
  <si>
    <t>Drawdown &gt;15%</t>
  </si>
  <si>
    <t>Nifty 50</t>
  </si>
  <si>
    <t>4.70% (Annual)</t>
  </si>
  <si>
    <t>Annual Return</t>
  </si>
  <si>
    <t>24.80%</t>
  </si>
  <si>
    <t>15.78%</t>
  </si>
  <si>
    <t>15.32%</t>
  </si>
  <si>
    <t>10.76%</t>
  </si>
  <si>
    <t>13.96%</t>
  </si>
  <si>
    <t>10.10%</t>
  </si>
  <si>
    <t>Portfolio</t>
  </si>
  <si>
    <t>Monitor index levels</t>
  </si>
  <si>
    <t>Weekly comparison</t>
  </si>
  <si>
    <t>Detailed analysis</t>
  </si>
  <si>
    <t>Comprehensive review</t>
  </si>
  <si>
    <t>Review &amp; increase monitoring</t>
  </si>
  <si>
    <t>Rebalance &amp; reassess</t>
  </si>
  <si>
    <t>Reduce high-beta</t>
  </si>
  <si>
    <t>Activate crisis protocol</t>
  </si>
  <si>
    <t>Largest 50 companies in India</t>
  </si>
  <si>
    <t>2.35% (6-Month)</t>
  </si>
  <si>
    <t>Market standard</t>
  </si>
  <si>
    <t>21.00%</t>
  </si>
  <si>
    <t>19.00%</t>
  </si>
  <si>
    <t>19.50%</t>
  </si>
  <si>
    <t>29.50%</t>
  </si>
  <si>
    <t>23.00%</t>
  </si>
  <si>
    <t>2.35%</t>
  </si>
  <si>
    <t>1.000</t>
  </si>
  <si>
    <t>0.1927</t>
  </si>
  <si>
    <t>Track P&amp;L &amp; correlation</t>
  </si>
  <si>
    <t>Portfolio vs index change</t>
  </si>
  <si>
    <t>Performance report</t>
  </si>
  <si>
    <t>Rebalancing decision</t>
  </si>
  <si>
    <t>PERFORMANCE BENCHMARKING FRAMEWORK</t>
  </si>
  <si>
    <t>DAILY MONITORING METRICS</t>
  </si>
  <si>
    <t>Portfolio Value</t>
  </si>
  <si>
    <t>Portfolio Return (6M%)</t>
  </si>
  <si>
    <t>Maximum Drawdown</t>
  </si>
  <si>
    <t>Nifty 50 Level</t>
  </si>
  <si>
    <t>Dividend Received</t>
  </si>
  <si>
    <t>Cash Position</t>
  </si>
  <si>
    <t>MONTHLY REVIEW CHECKLIST</t>
  </si>
  <si>
    <t>Performance vs Target</t>
  </si>
  <si>
    <t>Performance vs Nifty 50</t>
  </si>
  <si>
    <t>Stock Fundamental Updates</t>
  </si>
  <si>
    <t>Volatility Trends</t>
  </si>
  <si>
    <t>Weight Deviation Check</t>
  </si>
  <si>
    <t>Beta Recalculation</t>
  </si>
  <si>
    <t>Dividend Tracking</t>
  </si>
  <si>
    <t>Sector Momentum</t>
  </si>
  <si>
    <t>Correlation Matrix</t>
  </si>
  <si>
    <t>6-MONTH TARGET TRACKING</t>
  </si>
  <si>
    <t>Portfolio Initiation</t>
  </si>
  <si>
    <t>Month 1-2 Review</t>
  </si>
  <si>
    <t>Q1 Rebalancing</t>
  </si>
  <si>
    <t>Month 4-5 Review</t>
  </si>
  <si>
    <t>Final Exit</t>
  </si>
  <si>
    <t>Target</t>
  </si>
  <si>
    <t>Monitor</t>
  </si>
  <si>
    <t>₹0</t>
  </si>
  <si>
    <t>Frequency</t>
  </si>
  <si>
    <t>Jan-Feb 2026</t>
  </si>
  <si>
    <t>Apr-May 2026</t>
  </si>
  <si>
    <t>Current</t>
  </si>
  <si>
    <t>Defensive</t>
  </si>
  <si>
    <t>Target: &lt;15%</t>
  </si>
  <si>
    <t>Daily tracking</t>
  </si>
  <si>
    <t>Reinvest when received</t>
  </si>
  <si>
    <t>Maintain 10% buffer</t>
  </si>
  <si>
    <t>Owner</t>
  </si>
  <si>
    <t>Portfolio Manager</t>
  </si>
  <si>
    <t>Research Analyst</t>
  </si>
  <si>
    <t>Research Team</t>
  </si>
  <si>
    <t>Risk Officer</t>
  </si>
  <si>
    <t>Quant Analyst</t>
  </si>
  <si>
    <t>Operations</t>
  </si>
  <si>
    <t>Analyst</t>
  </si>
  <si>
    <t>Expected Value</t>
  </si>
  <si>
    <t>PORTFOLIO MONITORING DASHBOARD</t>
  </si>
  <si>
    <t>Month</t>
  </si>
  <si>
    <t>0</t>
  </si>
  <si>
    <t>1</t>
  </si>
  <si>
    <t>2</t>
  </si>
  <si>
    <t>3</t>
  </si>
  <si>
    <t>4</t>
  </si>
  <si>
    <t>5</t>
  </si>
  <si>
    <t>6</t>
  </si>
  <si>
    <t>QUARTERLY MILESTONES</t>
  </si>
  <si>
    <t>Q0 Initiation</t>
  </si>
  <si>
    <t>Q1 Checkpoint</t>
  </si>
  <si>
    <t>Q2 Exit</t>
  </si>
  <si>
    <t>Calendar Date</t>
  </si>
  <si>
    <t>Target Date</t>
  </si>
  <si>
    <t>Key Actions</t>
  </si>
  <si>
    <t>Portfolio Initiation - Deploy ₹900,000 across 15 stocks</t>
  </si>
  <si>
    <t>Monthly Review - Performance tracking, dividend monitoring</t>
  </si>
  <si>
    <t>Monthly Review - Check weight deviation, sector momentum</t>
  </si>
  <si>
    <t>QUARTERLY REBALANCE #1 - Trim winners, buy losers</t>
  </si>
  <si>
    <t>Monthly Review - Mid-horizon, profit booking tier-2</t>
  </si>
  <si>
    <t>Monthly Review - Final month, trend analysis</t>
  </si>
  <si>
    <t>PORTFOLIO EXIT &amp; Q2 REBALANCE - Realize all gains</t>
  </si>
  <si>
    <t>0%</t>
  </si>
  <si>
    <t>Key Metrics</t>
  </si>
  <si>
    <t>Initial P&amp;L = 0%</t>
  </si>
  <si>
    <t>Monthly Return vs Target</t>
  </si>
  <si>
    <t>Volatility trends</t>
  </si>
  <si>
    <t>Rebalancing P&amp;L</t>
  </si>
  <si>
    <t>Position performance</t>
  </si>
  <si>
    <t>Profit booking tracking</t>
  </si>
  <si>
    <t>EXECUTION TIMELINE &amp; ACTION PLAN (6-MONTH HORIZON)</t>
  </si>
  <si>
    <t>PORTFOLIO PERFORMANCE</t>
  </si>
  <si>
    <t>RISK PROFILE</t>
  </si>
  <si>
    <t>Largest Sector</t>
  </si>
  <si>
    <t>Risk Rating</t>
  </si>
  <si>
    <t>RISK-ADJUSTED RETURNS</t>
  </si>
  <si>
    <t>30% MARKET FALL SCENARIO</t>
  </si>
  <si>
    <t>Expected Decline</t>
  </si>
  <si>
    <t>Loss Amount</t>
  </si>
  <si>
    <t>Remaining Value</t>
  </si>
  <si>
    <t>Cash Available</t>
  </si>
  <si>
    <t>Total Buying Power</t>
  </si>
  <si>
    <t>PROFIT BOOKING TARGETS</t>
  </si>
  <si>
    <t>Expected Portfolio Gains</t>
  </si>
  <si>
    <t>Tier 1 Avg (33% position)</t>
  </si>
  <si>
    <t>Tier 2 Avg (50% position)</t>
  </si>
  <si>
    <t>Tier 3 Avg (17% position)</t>
  </si>
  <si>
    <t>MEDIUM-HIGH</t>
  </si>
  <si>
    <t>90% in stocks</t>
  </si>
  <si>
    <t>10% safety buffer</t>
  </si>
  <si>
    <t>₹73,440 absolute gain</t>
  </si>
  <si>
    <t>Benchmark</t>
  </si>
  <si>
    <t>Defensive (&lt;1.0)</t>
  </si>
  <si>
    <t>Safe (&lt;12%)</t>
  </si>
  <si>
    <t>Balanced growth</t>
  </si>
  <si>
    <t>Good (&gt;0.4)</t>
  </si>
  <si>
    <t>Systematic risk</t>
  </si>
  <si>
    <t>Outperformance</t>
  </si>
  <si>
    <t>Beta × 30% fall</t>
  </si>
  <si>
    <t>From ₹900,000</t>
  </si>
  <si>
    <t>After 30% fall</t>
  </si>
  <si>
    <t>Emergency capital</t>
  </si>
  <si>
    <t>Description</t>
  </si>
  <si>
    <t>Early booking gains</t>
  </si>
  <si>
    <t>Partial booking gains</t>
  </si>
  <si>
    <t>Final exit gains</t>
  </si>
  <si>
    <t>KEY PORTFOLIO METRICS &amp; CALCULATIONS</t>
  </si>
  <si>
    <t xml:space="preserve">PORTFOLIO CREATION &amp; MANAGEMENT </t>
  </si>
  <si>
    <t xml:space="preserve">Investment </t>
  </si>
  <si>
    <t>Portfolio Holdings</t>
  </si>
  <si>
    <t>Beta Contribution</t>
  </si>
  <si>
    <t>Portfolio Volatality</t>
  </si>
  <si>
    <t>Sharpe Ratio 0.55</t>
  </si>
  <si>
    <t>Information Ratio 2.86</t>
  </si>
  <si>
    <t>Jensen Alpha 3.45%</t>
  </si>
  <si>
    <t>Gain</t>
  </si>
  <si>
    <t>Max 25% portfolio (Current: 19.42%)</t>
  </si>
  <si>
    <t># Fixed data vales are fetched from Screener and Top Stock Research</t>
  </si>
  <si>
    <t>Within limit</t>
  </si>
  <si>
    <t>Final Return = 8.32%</t>
  </si>
  <si>
    <t>Target gain: 81635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</si>
</sst>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&quot;₹&quot;\ #,##0.00"/>
    <numFmt numFmtId="166" formatCode="&quot;₹&quot;\ #,##0;&quot;₹&quot;\ \(#,##0\)"/>
    <numFmt numFmtId="167" formatCode="#,##0\ %;\(#,##0\)\ %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4" borderId="1" xfId="0" applyFont="1" applyFill="1" applyBorder="1"/>
    <xf numFmtId="0" fontId="2" fillId="0" borderId="5" xfId="0" applyFont="1" applyBorder="1"/>
    <xf numFmtId="0" fontId="2" fillId="0" borderId="0" xfId="0" applyFont="1"/>
    <xf numFmtId="0" fontId="1" fillId="4" borderId="17" xfId="0" applyFont="1" applyFill="1" applyBorder="1"/>
    <xf numFmtId="0" fontId="1" fillId="4" borderId="18" xfId="0" applyFont="1" applyFill="1" applyBorder="1"/>
    <xf numFmtId="0" fontId="3" fillId="3" borderId="0" xfId="0" applyFont="1" applyFill="1"/>
    <xf numFmtId="0" fontId="4" fillId="0" borderId="0" xfId="0" applyFont="1"/>
    <xf numFmtId="0" fontId="3" fillId="4" borderId="0" xfId="0" applyFont="1" applyFill="1"/>
    <xf numFmtId="0" fontId="4" fillId="0" borderId="9" xfId="0" applyFont="1" applyBorder="1"/>
    <xf numFmtId="0" fontId="4" fillId="0" borderId="4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5" xfId="0" applyFont="1" applyBorder="1"/>
    <xf numFmtId="0" fontId="4" fillId="0" borderId="12" xfId="0" applyFont="1" applyBorder="1"/>
    <xf numFmtId="0" fontId="3" fillId="2" borderId="0" xfId="0" applyFont="1" applyFill="1"/>
    <xf numFmtId="0" fontId="3" fillId="4" borderId="1" xfId="0" applyFont="1" applyFill="1" applyBorder="1"/>
    <xf numFmtId="0" fontId="4" fillId="0" borderId="3" xfId="0" applyFont="1" applyBorder="1"/>
    <xf numFmtId="0" fontId="3" fillId="4" borderId="17" xfId="0" applyFont="1" applyFill="1" applyBorder="1"/>
    <xf numFmtId="0" fontId="3" fillId="4" borderId="18" xfId="0" applyFont="1" applyFill="1" applyBorder="1"/>
    <xf numFmtId="0" fontId="4" fillId="0" borderId="15" xfId="0" applyFont="1" applyBorder="1"/>
    <xf numFmtId="0" fontId="4" fillId="0" borderId="16" xfId="0" applyFont="1" applyBorder="1"/>
    <xf numFmtId="0" fontId="3" fillId="3" borderId="0" xfId="0" applyFont="1" applyFill="1"/>
    <xf numFmtId="0" fontId="5" fillId="0" borderId="0" xfId="0" applyFont="1"/>
    <xf numFmtId="0" fontId="5" fillId="0" borderId="6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/>
    <xf numFmtId="0" fontId="5" fillId="0" borderId="9" xfId="0" applyFont="1" applyBorder="1"/>
    <xf numFmtId="0" fontId="5" fillId="0" borderId="4" xfId="0" applyFont="1" applyBorder="1" applyAlignment="1">
      <alignment horizontal="left"/>
    </xf>
    <xf numFmtId="0" fontId="5" fillId="0" borderId="10" xfId="0" applyFont="1" applyBorder="1"/>
    <xf numFmtId="0" fontId="5" fillId="0" borderId="11" xfId="0" applyFont="1" applyBorder="1"/>
    <xf numFmtId="0" fontId="5" fillId="0" borderId="5" xfId="0" applyFont="1" applyBorder="1" applyAlignment="1">
      <alignment horizontal="left"/>
    </xf>
    <xf numFmtId="0" fontId="5" fillId="0" borderId="12" xfId="0" applyFont="1" applyBorder="1"/>
    <xf numFmtId="0" fontId="5" fillId="0" borderId="0" xfId="0" applyFont="1" applyAlignment="1">
      <alignment horizontal="left"/>
    </xf>
    <xf numFmtId="0" fontId="5" fillId="0" borderId="15" xfId="0" applyFont="1" applyBorder="1"/>
    <xf numFmtId="0" fontId="5" fillId="0" borderId="3" xfId="0" applyFont="1" applyBorder="1"/>
    <xf numFmtId="0" fontId="5" fillId="0" borderId="4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5" xfId="0" applyFont="1" applyBorder="1"/>
    <xf numFmtId="0" fontId="2" fillId="0" borderId="3" xfId="0" applyFont="1" applyBorder="1"/>
    <xf numFmtId="0" fontId="2" fillId="0" borderId="16" xfId="0" applyFont="1" applyBorder="1"/>
    <xf numFmtId="0" fontId="2" fillId="0" borderId="4" xfId="0" applyFont="1" applyBorder="1"/>
    <xf numFmtId="0" fontId="2" fillId="0" borderId="7" xfId="0" applyFont="1" applyBorder="1"/>
    <xf numFmtId="0" fontId="3" fillId="3" borderId="32" xfId="0" applyFont="1" applyFill="1" applyBorder="1"/>
    <xf numFmtId="0" fontId="5" fillId="0" borderId="33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5" fillId="0" borderId="16" xfId="0" applyFont="1" applyBorder="1"/>
    <xf numFmtId="0" fontId="5" fillId="0" borderId="5" xfId="0" applyFont="1" applyBorder="1"/>
    <xf numFmtId="0" fontId="3" fillId="2" borderId="30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3" fillId="0" borderId="0" xfId="0" applyNumberFormat="1" applyFont="1"/>
    <xf numFmtId="164" fontId="2" fillId="0" borderId="4" xfId="0" applyNumberFormat="1" applyFont="1" applyBorder="1" applyAlignment="1">
      <alignment horizontal="left"/>
    </xf>
    <xf numFmtId="10" fontId="2" fillId="0" borderId="3" xfId="0" applyNumberFormat="1" applyFont="1" applyBorder="1" applyAlignment="1">
      <alignment horizontal="left"/>
    </xf>
    <xf numFmtId="165" fontId="2" fillId="0" borderId="3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left"/>
    </xf>
    <xf numFmtId="165" fontId="2" fillId="0" borderId="5" xfId="0" applyNumberFormat="1" applyFont="1" applyBorder="1" applyAlignment="1">
      <alignment horizontal="left"/>
    </xf>
    <xf numFmtId="0" fontId="4" fillId="0" borderId="31" xfId="0" applyFont="1" applyBorder="1"/>
    <xf numFmtId="0" fontId="6" fillId="0" borderId="0" xfId="0" applyFont="1"/>
    <xf numFmtId="10" fontId="2" fillId="0" borderId="22" xfId="0" applyNumberFormat="1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165" fontId="2" fillId="0" borderId="22" xfId="0" applyNumberFormat="1" applyFont="1" applyBorder="1" applyAlignment="1">
      <alignment horizontal="left"/>
    </xf>
    <xf numFmtId="165" fontId="2" fillId="0" borderId="25" xfId="0" applyNumberFormat="1" applyFont="1" applyBorder="1" applyAlignment="1">
      <alignment horizontal="left"/>
    </xf>
    <xf numFmtId="10" fontId="2" fillId="0" borderId="16" xfId="0" applyNumberFormat="1" applyFont="1" applyBorder="1" applyAlignment="1">
      <alignment horizontal="left"/>
    </xf>
    <xf numFmtId="10" fontId="2" fillId="0" borderId="10" xfId="0" applyNumberFormat="1" applyFont="1" applyBorder="1" applyAlignment="1">
      <alignment horizontal="left"/>
    </xf>
    <xf numFmtId="10" fontId="2" fillId="0" borderId="12" xfId="0" applyNumberFormat="1" applyFont="1" applyBorder="1" applyAlignment="1">
      <alignment horizontal="left"/>
    </xf>
    <xf numFmtId="10" fontId="2" fillId="0" borderId="4" xfId="0" applyNumberFormat="1" applyFont="1" applyBorder="1" applyAlignment="1">
      <alignment horizontal="left"/>
    </xf>
    <xf numFmtId="2" fontId="2" fillId="0" borderId="5" xfId="0" applyNumberFormat="1" applyFont="1" applyBorder="1" applyAlignment="1">
      <alignment horizontal="left"/>
    </xf>
    <xf numFmtId="4" fontId="2" fillId="0" borderId="16" xfId="0" applyNumberFormat="1" applyFont="1" applyBorder="1" applyAlignment="1">
      <alignment horizontal="left"/>
    </xf>
    <xf numFmtId="165" fontId="2" fillId="0" borderId="10" xfId="0" applyNumberFormat="1" applyFont="1" applyBorder="1" applyAlignment="1">
      <alignment horizontal="left"/>
    </xf>
    <xf numFmtId="165" fontId="2" fillId="0" borderId="12" xfId="0" applyNumberFormat="1" applyFont="1" applyBorder="1" applyAlignment="1">
      <alignment horizontal="left"/>
    </xf>
    <xf numFmtId="10" fontId="4" fillId="0" borderId="12" xfId="0" applyNumberFormat="1" applyFont="1" applyBorder="1" applyAlignment="1">
      <alignment horizontal="left"/>
    </xf>
    <xf numFmtId="10" fontId="4" fillId="0" borderId="10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left"/>
    </xf>
    <xf numFmtId="165" fontId="5" fillId="0" borderId="5" xfId="0" applyNumberFormat="1" applyFont="1" applyBorder="1" applyAlignment="1">
      <alignment horizontal="left"/>
    </xf>
    <xf numFmtId="166" fontId="5" fillId="0" borderId="4" xfId="0" applyNumberFormat="1" applyFont="1" applyBorder="1" applyAlignment="1">
      <alignment horizontal="left"/>
    </xf>
    <xf numFmtId="165" fontId="5" fillId="0" borderId="3" xfId="0" applyNumberFormat="1" applyFont="1" applyBorder="1" applyAlignment="1">
      <alignment horizontal="left"/>
    </xf>
    <xf numFmtId="9" fontId="5" fillId="0" borderId="3" xfId="0" applyNumberFormat="1" applyFont="1" applyBorder="1" applyAlignment="1">
      <alignment horizontal="left"/>
    </xf>
    <xf numFmtId="2" fontId="5" fillId="0" borderId="3" xfId="0" applyNumberFormat="1" applyFont="1" applyBorder="1" applyAlignment="1">
      <alignment horizontal="left"/>
    </xf>
    <xf numFmtId="2" fontId="5" fillId="0" borderId="4" xfId="0" applyNumberFormat="1" applyFont="1" applyBorder="1" applyAlignment="1">
      <alignment horizontal="left"/>
    </xf>
    <xf numFmtId="10" fontId="5" fillId="0" borderId="4" xfId="0" applyNumberFormat="1" applyFont="1" applyBorder="1" applyAlignment="1">
      <alignment horizontal="left"/>
    </xf>
    <xf numFmtId="2" fontId="5" fillId="0" borderId="5" xfId="0" applyNumberFormat="1" applyFont="1" applyBorder="1" applyAlignment="1">
      <alignment horizontal="left"/>
    </xf>
    <xf numFmtId="10" fontId="5" fillId="0" borderId="3" xfId="0" applyNumberFormat="1" applyFont="1" applyBorder="1" applyAlignment="1">
      <alignment horizontal="left"/>
    </xf>
    <xf numFmtId="10" fontId="5" fillId="0" borderId="7" xfId="0" applyNumberFormat="1" applyFont="1" applyBorder="1" applyAlignment="1">
      <alignment horizontal="left"/>
    </xf>
    <xf numFmtId="10" fontId="5" fillId="0" borderId="5" xfId="0" applyNumberFormat="1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10" fontId="2" fillId="0" borderId="5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4" borderId="1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2" fontId="2" fillId="0" borderId="3" xfId="0" applyNumberFormat="1" applyFont="1" applyBorder="1" applyAlignment="1">
      <alignment horizontal="left"/>
    </xf>
    <xf numFmtId="2" fontId="2" fillId="0" borderId="4" xfId="0" applyNumberFormat="1" applyFont="1" applyBorder="1" applyAlignment="1">
      <alignment horizontal="left"/>
    </xf>
    <xf numFmtId="166" fontId="2" fillId="0" borderId="22" xfId="0" applyNumberFormat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9" fontId="5" fillId="0" borderId="4" xfId="0" applyNumberFormat="1" applyFont="1" applyBorder="1" applyAlignment="1">
      <alignment horizontal="left"/>
    </xf>
    <xf numFmtId="9" fontId="5" fillId="0" borderId="5" xfId="0" applyNumberFormat="1" applyFont="1" applyBorder="1" applyAlignment="1">
      <alignment horizontal="left"/>
    </xf>
    <xf numFmtId="165" fontId="5" fillId="0" borderId="31" xfId="0" applyNumberFormat="1" applyFont="1" applyBorder="1" applyAlignment="1">
      <alignment horizontal="left"/>
    </xf>
    <xf numFmtId="165" fontId="5" fillId="0" borderId="34" xfId="0" applyNumberFormat="1" applyFont="1" applyBorder="1" applyAlignment="1">
      <alignment horizontal="left"/>
    </xf>
    <xf numFmtId="164" fontId="2" fillId="0" borderId="28" xfId="0" applyNumberFormat="1" applyFont="1" applyBorder="1" applyAlignment="1">
      <alignment horizontal="left"/>
    </xf>
    <xf numFmtId="167" fontId="2" fillId="0" borderId="22" xfId="0" applyNumberFormat="1" applyFont="1" applyBorder="1" applyAlignment="1">
      <alignment horizontal="left"/>
    </xf>
    <xf numFmtId="167" fontId="2" fillId="0" borderId="28" xfId="0" applyNumberFormat="1" applyFont="1" applyBorder="1" applyAlignment="1">
      <alignment horizontal="left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472C4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Views>
    <sheetView showGridLines="0" topLeftCell="A11" zoomScaleNormal="100" workbookViewId="0">
      <selection activeCell="E15" sqref="E15"/>
    </sheetView>
  </sheetViews>
  <sheetFormatPr defaultRowHeight="15.6" x14ac:dyDescent="0.3"/>
  <cols>
    <col min="1" max="1" width="48.6640625" style="26" bestFit="1" customWidth="1"/>
    <col min="2" max="2" width="11" style="26" bestFit="1" customWidth="1"/>
    <col min="3" max="3" width="28.109375" style="26" bestFit="1" customWidth="1"/>
    <col min="4" max="4" width="14.77734375" style="26" bestFit="1" customWidth="1"/>
    <col min="5" max="5" width="20.109375" style="26" customWidth="1"/>
    <col min="6" max="6" width="16" style="26" customWidth="1"/>
    <col min="7" max="7" width="14.33203125" style="26" customWidth="1"/>
    <col min="8" max="8" width="9.88671875" style="26" customWidth="1"/>
    <col min="9" max="9" width="17.33203125" style="26" customWidth="1"/>
    <col min="10" max="10" width="25.109375" style="26" customWidth="1"/>
    <col min="11" max="11" width="10.44140625" style="26" customWidth="1"/>
    <col min="12" max="12" width="18.44140625" style="26" customWidth="1"/>
    <col min="13" max="13" width="19.33203125" style="26" bestFit="1" customWidth="1"/>
    <col min="14" max="16384" width="8.88671875" style="26"/>
  </cols>
  <sheetData>
    <row r="1" spans="1:3" ht="22.05" customHeight="1" x14ac:dyDescent="0.3">
      <c r="A1" s="51" t="s">
        <v>496</v>
      </c>
    </row>
    <row r="2" spans="1:3" ht="22.05" customHeight="1" x14ac:dyDescent="0.3">
      <c r="A2" s="52" t="s">
        <v>0</v>
      </c>
    </row>
    <row r="3" spans="1:3" ht="22.05" customHeight="1" x14ac:dyDescent="0.3"/>
    <row r="4" spans="1:3" ht="22.05" customHeight="1" thickBot="1" x14ac:dyDescent="0.35">
      <c r="A4" s="11" t="s">
        <v>1</v>
      </c>
    </row>
    <row r="5" spans="1:3" ht="22.05" customHeight="1" thickTop="1" x14ac:dyDescent="0.3">
      <c r="A5" s="27" t="s">
        <v>2</v>
      </c>
      <c r="B5" s="28" t="s">
        <v>19</v>
      </c>
      <c r="C5" s="29" t="s">
        <v>28</v>
      </c>
    </row>
    <row r="6" spans="1:3" ht="22.05" customHeight="1" x14ac:dyDescent="0.3">
      <c r="A6" s="30" t="s">
        <v>3</v>
      </c>
      <c r="B6" s="31" t="s">
        <v>20</v>
      </c>
      <c r="C6" s="32" t="s">
        <v>29</v>
      </c>
    </row>
    <row r="7" spans="1:3" ht="22.05" customHeight="1" x14ac:dyDescent="0.3">
      <c r="A7" s="30" t="s">
        <v>4</v>
      </c>
      <c r="B7" s="31" t="s">
        <v>21</v>
      </c>
      <c r="C7" s="32" t="s">
        <v>30</v>
      </c>
    </row>
    <row r="8" spans="1:3" ht="22.05" customHeight="1" x14ac:dyDescent="0.3">
      <c r="A8" s="30" t="s">
        <v>5</v>
      </c>
      <c r="B8" s="31" t="s">
        <v>22</v>
      </c>
      <c r="C8" s="32" t="s">
        <v>31</v>
      </c>
    </row>
    <row r="9" spans="1:3" ht="22.05" customHeight="1" thickBot="1" x14ac:dyDescent="0.35">
      <c r="A9" s="33" t="s">
        <v>6</v>
      </c>
      <c r="B9" s="34" t="s">
        <v>23</v>
      </c>
      <c r="C9" s="35" t="s">
        <v>32</v>
      </c>
    </row>
    <row r="10" spans="1:3" ht="22.05" customHeight="1" thickTop="1" x14ac:dyDescent="0.3">
      <c r="B10" s="36"/>
    </row>
    <row r="11" spans="1:3" ht="22.05" customHeight="1" thickBot="1" x14ac:dyDescent="0.35">
      <c r="A11" s="11" t="s">
        <v>7</v>
      </c>
      <c r="B11" s="36"/>
    </row>
    <row r="12" spans="1:3" ht="22.05" customHeight="1" thickTop="1" x14ac:dyDescent="0.3">
      <c r="A12" s="27" t="s">
        <v>8</v>
      </c>
      <c r="B12" s="100">
        <f>'MPT Analysis'!B4</f>
        <v>8.3162675695049509E-2</v>
      </c>
      <c r="C12" s="29" t="s">
        <v>509</v>
      </c>
    </row>
    <row r="13" spans="1:3" ht="22.05" customHeight="1" x14ac:dyDescent="0.3">
      <c r="A13" s="30" t="s">
        <v>9</v>
      </c>
      <c r="B13" s="97">
        <f>'MPT Analysis'!B5</f>
        <v>0.17324138201885875</v>
      </c>
      <c r="C13" s="32" t="s">
        <v>33</v>
      </c>
    </row>
    <row r="14" spans="1:3" ht="22.05" customHeight="1" x14ac:dyDescent="0.3">
      <c r="A14" s="30" t="s">
        <v>10</v>
      </c>
      <c r="B14" s="97">
        <f>'MPT Analysis'!B10</f>
        <v>0.19420000000000004</v>
      </c>
      <c r="C14" s="32" t="s">
        <v>34</v>
      </c>
    </row>
    <row r="15" spans="1:3" ht="22.05" customHeight="1" x14ac:dyDescent="0.3">
      <c r="A15" s="30" t="s">
        <v>11</v>
      </c>
      <c r="B15" s="102">
        <f>'MPT Analysis'!B12</f>
        <v>0.90559999999999996</v>
      </c>
      <c r="C15" s="32" t="s">
        <v>35</v>
      </c>
    </row>
    <row r="16" spans="1:3" ht="22.05" customHeight="1" x14ac:dyDescent="0.3">
      <c r="A16" s="30" t="s">
        <v>12</v>
      </c>
      <c r="B16" s="96">
        <f>'MPT Analysis'!B17</f>
        <v>0.55067652944829415</v>
      </c>
      <c r="C16" s="32" t="s">
        <v>36</v>
      </c>
    </row>
    <row r="17" spans="1:3" ht="22.05" customHeight="1" x14ac:dyDescent="0.3">
      <c r="A17" s="30" t="s">
        <v>13</v>
      </c>
      <c r="B17" s="96">
        <f>'MPT Analysis'!B18</f>
        <v>0.11808898191128396</v>
      </c>
      <c r="C17" s="32" t="s">
        <v>37</v>
      </c>
    </row>
    <row r="18" spans="1:3" ht="22.05" customHeight="1" x14ac:dyDescent="0.3">
      <c r="A18" s="30" t="s">
        <v>14</v>
      </c>
      <c r="B18" s="97">
        <f>'MPT Analysis'!B19</f>
        <v>3.4493382018858765E-2</v>
      </c>
      <c r="C18" s="32" t="s">
        <v>38</v>
      </c>
    </row>
    <row r="19" spans="1:3" ht="22.05" customHeight="1" x14ac:dyDescent="0.3">
      <c r="A19" s="30" t="s">
        <v>15</v>
      </c>
      <c r="B19" s="96">
        <f>'MPT Analysis'!B20</f>
        <v>2.8561398646800598</v>
      </c>
      <c r="C19" s="32" t="s">
        <v>39</v>
      </c>
    </row>
    <row r="20" spans="1:3" ht="22.05" customHeight="1" x14ac:dyDescent="0.3">
      <c r="A20" s="30"/>
      <c r="B20" s="31"/>
      <c r="C20" s="32"/>
    </row>
    <row r="21" spans="1:3" ht="22.05" customHeight="1" x14ac:dyDescent="0.3">
      <c r="A21" s="30" t="s">
        <v>16</v>
      </c>
      <c r="B21" s="97">
        <v>4.7E-2</v>
      </c>
      <c r="C21" s="32" t="s">
        <v>40</v>
      </c>
    </row>
    <row r="22" spans="1:3" ht="22.05" customHeight="1" x14ac:dyDescent="0.3">
      <c r="A22" s="30" t="s">
        <v>17</v>
      </c>
      <c r="B22" s="97">
        <f>'MPT Analysis'!B7</f>
        <v>0.10694138201885875</v>
      </c>
      <c r="C22" s="32" t="s">
        <v>41</v>
      </c>
    </row>
    <row r="23" spans="1:3" ht="22.05" customHeight="1" thickBot="1" x14ac:dyDescent="0.35">
      <c r="A23" s="33" t="s">
        <v>18</v>
      </c>
      <c r="B23" s="101">
        <f>'MPT Analysis'!B4</f>
        <v>8.3162675695049509E-2</v>
      </c>
      <c r="C23" s="35" t="s">
        <v>41</v>
      </c>
    </row>
    <row r="24" spans="1:3" ht="22.05" customHeight="1" thickTop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22"/>
  <sheetViews>
    <sheetView showGridLines="0" topLeftCell="A3" zoomScale="80" zoomScaleNormal="80" workbookViewId="0">
      <selection activeCell="O26" sqref="O26"/>
    </sheetView>
  </sheetViews>
  <sheetFormatPr defaultRowHeight="15.6" x14ac:dyDescent="0.3"/>
  <cols>
    <col min="1" max="1" width="0.5546875" style="10" customWidth="1"/>
    <col min="2" max="2" width="28.5546875" style="10" bestFit="1" customWidth="1"/>
    <col min="3" max="3" width="17.77734375" style="10" bestFit="1" customWidth="1"/>
    <col min="4" max="4" width="18.109375" style="10" bestFit="1" customWidth="1"/>
    <col min="5" max="5" width="13.109375" style="10" bestFit="1" customWidth="1"/>
    <col min="6" max="6" width="17.77734375" style="10" bestFit="1" customWidth="1"/>
    <col min="7" max="7" width="14.21875" style="10" bestFit="1" customWidth="1"/>
    <col min="8" max="8" width="12.77734375" style="10" bestFit="1" customWidth="1"/>
    <col min="9" max="9" width="9" style="10" bestFit="1" customWidth="1"/>
    <col min="10" max="10" width="9" style="10" customWidth="1"/>
    <col min="11" max="11" width="11.6640625" style="10" bestFit="1" customWidth="1"/>
    <col min="12" max="12" width="19" style="10" bestFit="1" customWidth="1"/>
    <col min="13" max="13" width="16.77734375" style="10" bestFit="1" customWidth="1"/>
    <col min="14" max="14" width="9.21875" style="10" bestFit="1" customWidth="1"/>
    <col min="15" max="15" width="16.109375" style="10" bestFit="1" customWidth="1"/>
    <col min="16" max="16" width="17.109375" style="10" bestFit="1" customWidth="1"/>
    <col min="17" max="17" width="14.6640625" style="10" customWidth="1"/>
    <col min="18" max="16384" width="8.88671875" style="10"/>
  </cols>
  <sheetData>
    <row r="2" spans="2:17" ht="25.05" customHeight="1" x14ac:dyDescent="0.3">
      <c r="B2" s="25" t="s">
        <v>498</v>
      </c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2:17" ht="25.05" customHeight="1" thickBot="1" x14ac:dyDescent="0.35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2:17" ht="25.05" customHeight="1" thickTop="1" thickBot="1" x14ac:dyDescent="0.35">
      <c r="B4" s="21" t="s">
        <v>93</v>
      </c>
      <c r="C4" s="19" t="s">
        <v>94</v>
      </c>
      <c r="D4" s="19" t="s">
        <v>95</v>
      </c>
      <c r="E4" s="19" t="s">
        <v>96</v>
      </c>
      <c r="F4" s="19" t="s">
        <v>97</v>
      </c>
      <c r="G4" s="19" t="s">
        <v>98</v>
      </c>
      <c r="H4" s="19" t="s">
        <v>99</v>
      </c>
      <c r="I4" s="19" t="s">
        <v>100</v>
      </c>
      <c r="J4" s="19" t="s">
        <v>499</v>
      </c>
      <c r="K4" s="19" t="s">
        <v>101</v>
      </c>
      <c r="L4" s="19" t="s">
        <v>500</v>
      </c>
      <c r="M4" s="19" t="s">
        <v>102</v>
      </c>
      <c r="N4" s="19" t="s">
        <v>103</v>
      </c>
      <c r="O4" s="19" t="s">
        <v>497</v>
      </c>
      <c r="P4" s="19" t="s">
        <v>104</v>
      </c>
      <c r="Q4" s="22" t="s">
        <v>504</v>
      </c>
    </row>
    <row r="5" spans="2:17" ht="25.05" customHeight="1" thickTop="1" x14ac:dyDescent="0.3">
      <c r="B5" s="64"/>
      <c r="C5" s="65"/>
      <c r="D5" s="65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74"/>
    </row>
    <row r="6" spans="2:17" ht="25.05" customHeight="1" x14ac:dyDescent="0.3">
      <c r="B6" s="37" t="s">
        <v>42</v>
      </c>
      <c r="C6" s="38" t="s">
        <v>57</v>
      </c>
      <c r="D6" s="38" t="s">
        <v>69</v>
      </c>
      <c r="E6" s="110" t="s">
        <v>80</v>
      </c>
      <c r="F6" s="93">
        <v>997</v>
      </c>
      <c r="G6" s="93">
        <v>1100</v>
      </c>
      <c r="H6" s="99">
        <f>(G6-F6)/F6</f>
        <v>0.10330992978936811</v>
      </c>
      <c r="I6" s="110">
        <v>1.06</v>
      </c>
      <c r="J6" s="110">
        <f>E6*I6</f>
        <v>8.48E-2</v>
      </c>
      <c r="K6" s="110" t="s">
        <v>86</v>
      </c>
      <c r="L6" s="110">
        <f>K6*E6</f>
        <v>1.6E-2</v>
      </c>
      <c r="M6" s="99">
        <v>1.0999999999999999E-2</v>
      </c>
      <c r="N6" s="99">
        <v>0.14399999999999999</v>
      </c>
      <c r="O6" s="93">
        <v>80000</v>
      </c>
      <c r="P6" s="93">
        <f t="shared" ref="P6:P20" si="0">O6+H6*O6</f>
        <v>88264.794383149449</v>
      </c>
      <c r="Q6" s="113">
        <f>P6-O6</f>
        <v>8264.7943831494485</v>
      </c>
    </row>
    <row r="7" spans="2:17" ht="25.05" customHeight="1" x14ac:dyDescent="0.3">
      <c r="B7" s="30" t="s">
        <v>43</v>
      </c>
      <c r="C7" s="39" t="s">
        <v>58</v>
      </c>
      <c r="D7" s="39" t="s">
        <v>69</v>
      </c>
      <c r="E7" s="110" t="s">
        <v>80</v>
      </c>
      <c r="F7" s="90">
        <v>1375</v>
      </c>
      <c r="G7" s="90">
        <v>1450</v>
      </c>
      <c r="H7" s="99">
        <f t="shared" ref="H7:H20" si="1">(G7-F7)/F7</f>
        <v>5.4545454545454543E-2</v>
      </c>
      <c r="I7" s="31">
        <v>1.07</v>
      </c>
      <c r="J7" s="110">
        <f t="shared" ref="J7:J20" si="2">E7*I7</f>
        <v>8.5600000000000009E-2</v>
      </c>
      <c r="K7" s="31" t="s">
        <v>87</v>
      </c>
      <c r="L7" s="110">
        <f t="shared" ref="L7:L20" si="3">K7*E7</f>
        <v>1.44E-2</v>
      </c>
      <c r="M7" s="97">
        <v>8.0999999999999996E-3</v>
      </c>
      <c r="N7" s="97">
        <v>0.17899999999999999</v>
      </c>
      <c r="O7" s="93">
        <v>80000</v>
      </c>
      <c r="P7" s="93">
        <f t="shared" si="0"/>
        <v>84363.636363636368</v>
      </c>
      <c r="Q7" s="113">
        <f t="shared" ref="Q7:Q19" si="4">P7-O7</f>
        <v>4363.6363636363676</v>
      </c>
    </row>
    <row r="8" spans="2:17" ht="25.05" customHeight="1" x14ac:dyDescent="0.3">
      <c r="B8" s="30" t="s">
        <v>44</v>
      </c>
      <c r="C8" s="39" t="s">
        <v>59</v>
      </c>
      <c r="D8" s="39" t="s">
        <v>70</v>
      </c>
      <c r="E8" s="110" t="s">
        <v>80</v>
      </c>
      <c r="F8" s="90">
        <v>1017</v>
      </c>
      <c r="G8" s="90">
        <v>1200</v>
      </c>
      <c r="H8" s="99">
        <f t="shared" si="1"/>
        <v>0.17994100294985252</v>
      </c>
      <c r="I8" s="31">
        <v>1.25</v>
      </c>
      <c r="J8" s="110">
        <f t="shared" si="2"/>
        <v>0.1</v>
      </c>
      <c r="K8" s="31" t="s">
        <v>88</v>
      </c>
      <c r="L8" s="110">
        <f t="shared" si="3"/>
        <v>0.02</v>
      </c>
      <c r="M8" s="97">
        <v>4.4000000000000003E-3</v>
      </c>
      <c r="N8" s="97">
        <v>0.192</v>
      </c>
      <c r="O8" s="93">
        <v>80000</v>
      </c>
      <c r="P8" s="93">
        <f t="shared" si="0"/>
        <v>94395.280235988204</v>
      </c>
      <c r="Q8" s="113">
        <f t="shared" si="4"/>
        <v>14395.280235988204</v>
      </c>
    </row>
    <row r="9" spans="2:17" ht="25.05" customHeight="1" x14ac:dyDescent="0.3">
      <c r="B9" s="30" t="s">
        <v>45</v>
      </c>
      <c r="C9" s="39" t="s">
        <v>60</v>
      </c>
      <c r="D9" s="39" t="s">
        <v>71</v>
      </c>
      <c r="E9" s="110" t="s">
        <v>80</v>
      </c>
      <c r="F9" s="90">
        <v>1599</v>
      </c>
      <c r="G9" s="90">
        <v>1850</v>
      </c>
      <c r="H9" s="99">
        <f t="shared" si="1"/>
        <v>0.15697310819262039</v>
      </c>
      <c r="I9" s="31">
        <v>0.88700000000000001</v>
      </c>
      <c r="J9" s="110">
        <f t="shared" si="2"/>
        <v>7.0960000000000009E-2</v>
      </c>
      <c r="K9" s="31" t="s">
        <v>89</v>
      </c>
      <c r="L9" s="110">
        <f t="shared" si="3"/>
        <v>1.7600000000000001E-2</v>
      </c>
      <c r="M9" s="97">
        <v>2.7E-2</v>
      </c>
      <c r="N9" s="97">
        <v>0.28799999999999998</v>
      </c>
      <c r="O9" s="93">
        <v>80000</v>
      </c>
      <c r="P9" s="93">
        <f t="shared" si="0"/>
        <v>92557.848655409631</v>
      </c>
      <c r="Q9" s="113">
        <f t="shared" si="4"/>
        <v>12557.848655409631</v>
      </c>
    </row>
    <row r="10" spans="2:17" ht="25.05" customHeight="1" x14ac:dyDescent="0.3">
      <c r="B10" s="30" t="s">
        <v>46</v>
      </c>
      <c r="C10" s="39" t="s">
        <v>46</v>
      </c>
      <c r="D10" s="39" t="s">
        <v>71</v>
      </c>
      <c r="E10" s="31" t="s">
        <v>81</v>
      </c>
      <c r="F10" s="90">
        <v>3208</v>
      </c>
      <c r="G10" s="90">
        <v>3500</v>
      </c>
      <c r="H10" s="99">
        <f t="shared" si="1"/>
        <v>9.1022443890274321E-2</v>
      </c>
      <c r="I10" s="31">
        <v>0.80200000000000005</v>
      </c>
      <c r="J10" s="110">
        <f t="shared" si="2"/>
        <v>5.6140000000000009E-2</v>
      </c>
      <c r="K10" s="31" t="s">
        <v>86</v>
      </c>
      <c r="L10" s="110">
        <f t="shared" si="3"/>
        <v>1.4000000000000002E-2</v>
      </c>
      <c r="M10" s="97">
        <v>1.8800000000000001E-2</v>
      </c>
      <c r="N10" s="97">
        <v>0.52400000000000002</v>
      </c>
      <c r="O10" s="90">
        <v>70000</v>
      </c>
      <c r="P10" s="93">
        <f t="shared" si="0"/>
        <v>76371.571072319202</v>
      </c>
      <c r="Q10" s="113">
        <f t="shared" si="4"/>
        <v>6371.5710723192024</v>
      </c>
    </row>
    <row r="11" spans="2:17" ht="25.05" customHeight="1" x14ac:dyDescent="0.3">
      <c r="B11" s="30" t="s">
        <v>47</v>
      </c>
      <c r="C11" s="39" t="s">
        <v>61</v>
      </c>
      <c r="D11" s="39" t="s">
        <v>72</v>
      </c>
      <c r="E11" s="31" t="s">
        <v>82</v>
      </c>
      <c r="F11" s="90">
        <v>1529</v>
      </c>
      <c r="G11" s="90">
        <v>1650</v>
      </c>
      <c r="H11" s="99">
        <f t="shared" si="1"/>
        <v>7.9136690647482008E-2</v>
      </c>
      <c r="I11" s="31">
        <v>1.21</v>
      </c>
      <c r="J11" s="110">
        <f t="shared" si="2"/>
        <v>7.2599999999999998E-2</v>
      </c>
      <c r="K11" s="31" t="s">
        <v>90</v>
      </c>
      <c r="L11" s="110">
        <f t="shared" si="3"/>
        <v>1.2599999999999998E-2</v>
      </c>
      <c r="M11" s="97">
        <v>3.5999999999999999E-3</v>
      </c>
      <c r="N11" s="97">
        <v>8.4000000000000005E-2</v>
      </c>
      <c r="O11" s="90">
        <v>60000</v>
      </c>
      <c r="P11" s="93">
        <f t="shared" si="0"/>
        <v>64748.201438848919</v>
      </c>
      <c r="Q11" s="113">
        <f t="shared" si="4"/>
        <v>4748.2014388489188</v>
      </c>
    </row>
    <row r="12" spans="2:17" ht="25.05" customHeight="1" x14ac:dyDescent="0.3">
      <c r="B12" s="30" t="s">
        <v>48</v>
      </c>
      <c r="C12" s="39" t="s">
        <v>62</v>
      </c>
      <c r="D12" s="39" t="s">
        <v>73</v>
      </c>
      <c r="E12" s="31" t="s">
        <v>81</v>
      </c>
      <c r="F12" s="90">
        <v>3998</v>
      </c>
      <c r="G12" s="90">
        <v>4200</v>
      </c>
      <c r="H12" s="99">
        <f t="shared" si="1"/>
        <v>5.0525262631315661E-2</v>
      </c>
      <c r="I12" s="31">
        <v>1.2</v>
      </c>
      <c r="J12" s="110">
        <f t="shared" si="2"/>
        <v>8.4000000000000005E-2</v>
      </c>
      <c r="K12" s="111">
        <v>0.22</v>
      </c>
      <c r="L12" s="110">
        <f t="shared" si="3"/>
        <v>1.5400000000000002E-2</v>
      </c>
      <c r="M12" s="97">
        <v>8.3000000000000001E-3</v>
      </c>
      <c r="N12" s="97">
        <v>0.16600000000000001</v>
      </c>
      <c r="O12" s="90">
        <v>70000</v>
      </c>
      <c r="P12" s="93">
        <f t="shared" si="0"/>
        <v>73536.768384192095</v>
      </c>
      <c r="Q12" s="113">
        <f t="shared" si="4"/>
        <v>3536.7683841920953</v>
      </c>
    </row>
    <row r="13" spans="2:17" ht="25.05" customHeight="1" x14ac:dyDescent="0.3">
      <c r="B13" s="30" t="s">
        <v>49</v>
      </c>
      <c r="C13" s="39" t="s">
        <v>63</v>
      </c>
      <c r="D13" s="39" t="s">
        <v>74</v>
      </c>
      <c r="E13" s="31" t="s">
        <v>81</v>
      </c>
      <c r="F13" s="90">
        <v>1776</v>
      </c>
      <c r="G13" s="90">
        <v>1900</v>
      </c>
      <c r="H13" s="99">
        <f t="shared" si="1"/>
        <v>6.9819819819819814E-2</v>
      </c>
      <c r="I13" s="31">
        <v>0.57899999999999996</v>
      </c>
      <c r="J13" s="110">
        <f t="shared" si="2"/>
        <v>4.0530000000000004E-2</v>
      </c>
      <c r="K13" s="111">
        <v>0.2</v>
      </c>
      <c r="L13" s="110">
        <f t="shared" si="3"/>
        <v>1.4000000000000002E-2</v>
      </c>
      <c r="M13" s="97">
        <v>8.8999999999999999E-3</v>
      </c>
      <c r="N13" s="97">
        <v>0.16900000000000001</v>
      </c>
      <c r="O13" s="90">
        <v>70000</v>
      </c>
      <c r="P13" s="93">
        <f t="shared" si="0"/>
        <v>74887.387387387382</v>
      </c>
      <c r="Q13" s="113">
        <f t="shared" si="4"/>
        <v>4887.3873873873818</v>
      </c>
    </row>
    <row r="14" spans="2:17" ht="25.05" customHeight="1" x14ac:dyDescent="0.3">
      <c r="B14" s="30" t="s">
        <v>50</v>
      </c>
      <c r="C14" s="39" t="s">
        <v>64</v>
      </c>
      <c r="D14" s="39" t="s">
        <v>75</v>
      </c>
      <c r="E14" s="31" t="s">
        <v>82</v>
      </c>
      <c r="F14" s="90">
        <v>2306</v>
      </c>
      <c r="G14" s="90">
        <v>2550</v>
      </c>
      <c r="H14" s="99">
        <f t="shared" si="1"/>
        <v>0.10581092801387684</v>
      </c>
      <c r="I14" s="31">
        <v>0.51200000000000001</v>
      </c>
      <c r="J14" s="110">
        <f t="shared" si="2"/>
        <v>3.0720000000000001E-2</v>
      </c>
      <c r="K14" s="31" t="s">
        <v>91</v>
      </c>
      <c r="L14" s="110">
        <f t="shared" si="3"/>
        <v>1.14E-2</v>
      </c>
      <c r="M14" s="97">
        <v>1.9E-2</v>
      </c>
      <c r="N14" s="97">
        <v>0.20699999999999999</v>
      </c>
      <c r="O14" s="90">
        <v>60000</v>
      </c>
      <c r="P14" s="93">
        <f t="shared" si="0"/>
        <v>66348.655680832613</v>
      </c>
      <c r="Q14" s="113">
        <f t="shared" si="4"/>
        <v>6348.6556808326131</v>
      </c>
    </row>
    <row r="15" spans="2:17" ht="25.05" customHeight="1" x14ac:dyDescent="0.3">
      <c r="B15" s="30" t="s">
        <v>51</v>
      </c>
      <c r="C15" s="39" t="s">
        <v>51</v>
      </c>
      <c r="D15" s="39" t="s">
        <v>75</v>
      </c>
      <c r="E15" s="31" t="s">
        <v>83</v>
      </c>
      <c r="F15" s="90">
        <v>401</v>
      </c>
      <c r="G15" s="90">
        <v>420</v>
      </c>
      <c r="H15" s="99">
        <f t="shared" si="1"/>
        <v>4.738154613466334E-2</v>
      </c>
      <c r="I15" s="31">
        <v>0.56299999999999994</v>
      </c>
      <c r="J15" s="110">
        <f t="shared" si="2"/>
        <v>2.8149999999999998E-2</v>
      </c>
      <c r="K15" s="111">
        <v>0.17</v>
      </c>
      <c r="L15" s="110">
        <f t="shared" si="3"/>
        <v>8.5000000000000006E-3</v>
      </c>
      <c r="M15" s="97">
        <v>3.5700000000000003E-2</v>
      </c>
      <c r="N15" s="97">
        <v>0.27300000000000002</v>
      </c>
      <c r="O15" s="90">
        <v>50000</v>
      </c>
      <c r="P15" s="93">
        <f t="shared" si="0"/>
        <v>52369.077306733168</v>
      </c>
      <c r="Q15" s="113">
        <f t="shared" si="4"/>
        <v>2369.0773067331684</v>
      </c>
    </row>
    <row r="16" spans="2:17" ht="25.05" customHeight="1" x14ac:dyDescent="0.3">
      <c r="B16" s="30" t="s">
        <v>52</v>
      </c>
      <c r="C16" s="39" t="s">
        <v>65</v>
      </c>
      <c r="D16" s="39" t="s">
        <v>76</v>
      </c>
      <c r="E16" s="31" t="s">
        <v>83</v>
      </c>
      <c r="F16" s="90">
        <v>2090</v>
      </c>
      <c r="G16" s="90">
        <v>2300</v>
      </c>
      <c r="H16" s="99">
        <f t="shared" si="1"/>
        <v>0.10047846889952153</v>
      </c>
      <c r="I16" s="31">
        <v>0.82</v>
      </c>
      <c r="J16" s="110">
        <f t="shared" si="2"/>
        <v>4.1000000000000002E-2</v>
      </c>
      <c r="K16" s="111">
        <v>0.2</v>
      </c>
      <c r="L16" s="110">
        <f t="shared" si="3"/>
        <v>1.0000000000000002E-2</v>
      </c>
      <c r="M16" s="97">
        <v>7.7999999999999996E-3</v>
      </c>
      <c r="N16" s="97">
        <v>0.23200000000000001</v>
      </c>
      <c r="O16" s="90">
        <v>50000</v>
      </c>
      <c r="P16" s="93">
        <f t="shared" si="0"/>
        <v>55023.923444976077</v>
      </c>
      <c r="Q16" s="113">
        <f t="shared" si="4"/>
        <v>5023.923444976077</v>
      </c>
    </row>
    <row r="17" spans="2:17" ht="25.05" customHeight="1" x14ac:dyDescent="0.3">
      <c r="B17" s="30" t="s">
        <v>53</v>
      </c>
      <c r="C17" s="39" t="s">
        <v>53</v>
      </c>
      <c r="D17" s="39" t="s">
        <v>77</v>
      </c>
      <c r="E17" s="31" t="s">
        <v>84</v>
      </c>
      <c r="F17" s="90">
        <v>2716</v>
      </c>
      <c r="G17" s="90">
        <v>2900</v>
      </c>
      <c r="H17" s="99">
        <f t="shared" si="1"/>
        <v>6.774668630338733E-2</v>
      </c>
      <c r="I17" s="31">
        <v>1.4</v>
      </c>
      <c r="J17" s="110">
        <f t="shared" si="2"/>
        <v>5.5999999999999994E-2</v>
      </c>
      <c r="K17" s="31" t="s">
        <v>92</v>
      </c>
      <c r="L17" s="110">
        <f t="shared" si="3"/>
        <v>1.1200000000000002E-2</v>
      </c>
      <c r="M17" s="97">
        <v>2.2000000000000001E-3</v>
      </c>
      <c r="N17" s="111">
        <v>0.36</v>
      </c>
      <c r="O17" s="90">
        <v>40000</v>
      </c>
      <c r="P17" s="93">
        <f t="shared" si="0"/>
        <v>42709.867452135491</v>
      </c>
      <c r="Q17" s="113">
        <f t="shared" si="4"/>
        <v>2709.8674521354915</v>
      </c>
    </row>
    <row r="18" spans="2:17" ht="25.05" customHeight="1" x14ac:dyDescent="0.3">
      <c r="B18" s="30" t="s">
        <v>54</v>
      </c>
      <c r="C18" s="39" t="s">
        <v>66</v>
      </c>
      <c r="D18" s="39" t="s">
        <v>78</v>
      </c>
      <c r="E18" s="31" t="s">
        <v>83</v>
      </c>
      <c r="F18" s="90">
        <v>3636</v>
      </c>
      <c r="G18" s="90">
        <v>3800</v>
      </c>
      <c r="H18" s="99">
        <f t="shared" si="1"/>
        <v>4.5104510451045104E-2</v>
      </c>
      <c r="I18" s="31">
        <v>1.27</v>
      </c>
      <c r="J18" s="110">
        <f t="shared" si="2"/>
        <v>6.3500000000000001E-2</v>
      </c>
      <c r="K18" s="111">
        <v>0.27</v>
      </c>
      <c r="L18" s="110">
        <f t="shared" si="3"/>
        <v>1.3500000000000002E-2</v>
      </c>
      <c r="M18" s="97">
        <v>6.8999999999999999E-3</v>
      </c>
      <c r="N18" s="111">
        <v>0.18</v>
      </c>
      <c r="O18" s="90">
        <v>50000</v>
      </c>
      <c r="P18" s="93">
        <f t="shared" si="0"/>
        <v>52255.225522552253</v>
      </c>
      <c r="Q18" s="113">
        <f t="shared" si="4"/>
        <v>2255.2255225522531</v>
      </c>
    </row>
    <row r="19" spans="2:17" ht="25.05" customHeight="1" x14ac:dyDescent="0.3">
      <c r="B19" s="30" t="s">
        <v>55</v>
      </c>
      <c r="C19" s="39" t="s">
        <v>67</v>
      </c>
      <c r="D19" s="39" t="s">
        <v>79</v>
      </c>
      <c r="E19" s="31" t="s">
        <v>84</v>
      </c>
      <c r="F19" s="90">
        <v>376</v>
      </c>
      <c r="G19" s="90">
        <v>400</v>
      </c>
      <c r="H19" s="99">
        <f t="shared" si="1"/>
        <v>6.3829787234042548E-2</v>
      </c>
      <c r="I19" s="31">
        <v>1.71</v>
      </c>
      <c r="J19" s="110">
        <f t="shared" si="2"/>
        <v>6.8400000000000002E-2</v>
      </c>
      <c r="K19" s="111">
        <v>0.24</v>
      </c>
      <c r="L19" s="110">
        <f t="shared" si="3"/>
        <v>9.5999999999999992E-3</v>
      </c>
      <c r="M19" s="97">
        <v>5.8999999999999999E-3</v>
      </c>
      <c r="N19" s="111">
        <v>0.11</v>
      </c>
      <c r="O19" s="90">
        <v>40000</v>
      </c>
      <c r="P19" s="93">
        <f t="shared" si="0"/>
        <v>42553.191489361699</v>
      </c>
      <c r="Q19" s="113">
        <f t="shared" si="4"/>
        <v>2553.1914893616995</v>
      </c>
    </row>
    <row r="20" spans="2:17" ht="25.05" customHeight="1" thickBot="1" x14ac:dyDescent="0.35">
      <c r="B20" s="33" t="s">
        <v>56</v>
      </c>
      <c r="C20" s="63" t="s">
        <v>68</v>
      </c>
      <c r="D20" s="63" t="s">
        <v>78</v>
      </c>
      <c r="E20" s="34" t="s">
        <v>85</v>
      </c>
      <c r="F20" s="91">
        <v>160</v>
      </c>
      <c r="G20" s="91">
        <v>170</v>
      </c>
      <c r="H20" s="101">
        <f t="shared" si="1"/>
        <v>6.25E-2</v>
      </c>
      <c r="I20" s="34">
        <v>1.1599999999999999</v>
      </c>
      <c r="J20" s="34">
        <f t="shared" si="2"/>
        <v>2.3199999999999998E-2</v>
      </c>
      <c r="K20" s="112">
        <v>0.3</v>
      </c>
      <c r="L20" s="34">
        <f t="shared" si="3"/>
        <v>6.0000000000000001E-3</v>
      </c>
      <c r="M20" s="101">
        <v>1.9099999999999999E-2</v>
      </c>
      <c r="N20" s="101">
        <v>0.28799999999999998</v>
      </c>
      <c r="O20" s="91">
        <v>20000</v>
      </c>
      <c r="P20" s="91">
        <f t="shared" si="0"/>
        <v>21250</v>
      </c>
      <c r="Q20" s="114">
        <f>P20-O20</f>
        <v>1250</v>
      </c>
    </row>
    <row r="21" spans="2:17" ht="16.2" thickTop="1" x14ac:dyDescent="0.3">
      <c r="J21" s="68">
        <f>SUM(J6:J20)</f>
        <v>0.90559999999999996</v>
      </c>
      <c r="L21" s="75">
        <f>SUM(L6:L20)</f>
        <v>0.19420000000000004</v>
      </c>
      <c r="M21" s="75"/>
      <c r="N21" s="75"/>
      <c r="O21" s="75">
        <f>SUM(O6:O20)</f>
        <v>900000</v>
      </c>
      <c r="P21" s="75">
        <f>SUM(P6:P20)</f>
        <v>981635.42881752248</v>
      </c>
    </row>
    <row r="22" spans="2:17" x14ac:dyDescent="0.3">
      <c r="M22" s="10" t="s">
        <v>506</v>
      </c>
    </row>
  </sheetData>
  <pageMargins left="0.7" right="0.7" top="0.75" bottom="0.75" header="0.3" footer="0.3"/>
  <pageSetup paperSize="6" scale="42" orientation="landscape" r:id="rId1"/>
  <ignoredErrors>
    <ignoredError sqref="E6:E7 E8 E9:E20 K6:K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Views>
    <sheetView showGridLines="0" zoomScaleNormal="100" workbookViewId="0">
      <selection activeCell="A33" sqref="A33"/>
    </sheetView>
  </sheetViews>
  <sheetFormatPr defaultRowHeight="14.4" x14ac:dyDescent="0.3"/>
  <cols>
    <col min="1" max="1" width="40.77734375" style="6" bestFit="1" customWidth="1"/>
    <col min="2" max="2" width="36.6640625" style="6" bestFit="1" customWidth="1"/>
    <col min="3" max="3" width="51" style="6" bestFit="1" customWidth="1"/>
    <col min="4" max="16384" width="8.88671875" style="6"/>
  </cols>
  <sheetData>
    <row r="1" spans="1:3" x14ac:dyDescent="0.3">
      <c r="A1" s="2" t="s">
        <v>139</v>
      </c>
    </row>
    <row r="2" spans="1:3" ht="15" thickBot="1" x14ac:dyDescent="0.35"/>
    <row r="3" spans="1:3" ht="15.6" thickTop="1" thickBot="1" x14ac:dyDescent="0.35">
      <c r="A3" s="7" t="s">
        <v>105</v>
      </c>
      <c r="B3" s="4" t="s">
        <v>116</v>
      </c>
      <c r="C3" s="8" t="s">
        <v>123</v>
      </c>
    </row>
    <row r="4" spans="1:3" ht="15" thickTop="1" x14ac:dyDescent="0.3">
      <c r="A4" s="46" t="s">
        <v>106</v>
      </c>
      <c r="B4" s="70">
        <f>('Portfolio Holdings'!P21-'Portfolio Holdings'!O21)/'Portfolio Holdings'!P21</f>
        <v>8.3162675695049509E-2</v>
      </c>
      <c r="C4" s="48" t="s">
        <v>124</v>
      </c>
    </row>
    <row r="5" spans="1:3" x14ac:dyDescent="0.3">
      <c r="A5" s="42" t="s">
        <v>107</v>
      </c>
      <c r="B5" s="83">
        <f>POWER(1+B4,2)-1</f>
        <v>0.17324138201885875</v>
      </c>
      <c r="C5" s="43" t="s">
        <v>125</v>
      </c>
    </row>
    <row r="6" spans="1:3" x14ac:dyDescent="0.3">
      <c r="A6" s="42" t="s">
        <v>16</v>
      </c>
      <c r="B6" s="67" t="s">
        <v>26</v>
      </c>
      <c r="C6" s="43" t="s">
        <v>40</v>
      </c>
    </row>
    <row r="7" spans="1:3" ht="15" thickBot="1" x14ac:dyDescent="0.35">
      <c r="A7" s="44" t="s">
        <v>108</v>
      </c>
      <c r="B7" s="103">
        <f>B5-B13</f>
        <v>0.10694138201885875</v>
      </c>
      <c r="C7" s="45" t="s">
        <v>126</v>
      </c>
    </row>
    <row r="8" spans="1:3" ht="15.6" thickTop="1" thickBot="1" x14ac:dyDescent="0.35">
      <c r="B8" s="104"/>
    </row>
    <row r="9" spans="1:3" ht="15.6" thickTop="1" thickBot="1" x14ac:dyDescent="0.35">
      <c r="A9" s="7" t="s">
        <v>109</v>
      </c>
      <c r="B9" s="105" t="s">
        <v>116</v>
      </c>
      <c r="C9" s="8" t="s">
        <v>123</v>
      </c>
    </row>
    <row r="10" spans="1:3" ht="15" thickTop="1" x14ac:dyDescent="0.3">
      <c r="A10" s="46" t="s">
        <v>10</v>
      </c>
      <c r="B10" s="70">
        <f>'Portfolio Holdings'!L21</f>
        <v>0.19420000000000004</v>
      </c>
      <c r="C10" s="48" t="s">
        <v>127</v>
      </c>
    </row>
    <row r="11" spans="1:3" x14ac:dyDescent="0.3">
      <c r="A11" s="42" t="s">
        <v>110</v>
      </c>
      <c r="B11" s="67" t="s">
        <v>117</v>
      </c>
      <c r="C11" s="43" t="s">
        <v>128</v>
      </c>
    </row>
    <row r="12" spans="1:3" x14ac:dyDescent="0.3">
      <c r="A12" s="42" t="s">
        <v>11</v>
      </c>
      <c r="B12" s="69">
        <f>'Portfolio Holdings'!J21</f>
        <v>0.90559999999999996</v>
      </c>
      <c r="C12" s="43" t="s">
        <v>129</v>
      </c>
    </row>
    <row r="13" spans="1:3" x14ac:dyDescent="0.3">
      <c r="A13" s="42" t="s">
        <v>111</v>
      </c>
      <c r="B13" s="67" t="s">
        <v>118</v>
      </c>
      <c r="C13" s="43" t="s">
        <v>130</v>
      </c>
    </row>
    <row r="14" spans="1:3" ht="15" thickBot="1" x14ac:dyDescent="0.35">
      <c r="A14" s="44" t="s">
        <v>112</v>
      </c>
      <c r="B14" s="106" t="s">
        <v>119</v>
      </c>
      <c r="C14" s="45" t="s">
        <v>131</v>
      </c>
    </row>
    <row r="15" spans="1:3" ht="15.6" thickTop="1" thickBot="1" x14ac:dyDescent="0.35">
      <c r="B15" s="104"/>
    </row>
    <row r="16" spans="1:3" ht="15.6" thickTop="1" thickBot="1" x14ac:dyDescent="0.35">
      <c r="A16" s="7" t="s">
        <v>113</v>
      </c>
      <c r="B16" s="105" t="s">
        <v>116</v>
      </c>
      <c r="C16" s="8" t="s">
        <v>123</v>
      </c>
    </row>
    <row r="17" spans="1:3" ht="15" thickTop="1" x14ac:dyDescent="0.3">
      <c r="A17" s="46" t="s">
        <v>12</v>
      </c>
      <c r="B17" s="107">
        <f>B7/B10</f>
        <v>0.55067652944829415</v>
      </c>
      <c r="C17" s="48" t="s">
        <v>132</v>
      </c>
    </row>
    <row r="18" spans="1:3" x14ac:dyDescent="0.3">
      <c r="A18" s="42" t="s">
        <v>13</v>
      </c>
      <c r="B18" s="108">
        <f>B7/B12</f>
        <v>0.11808898191128396</v>
      </c>
      <c r="C18" s="43" t="s">
        <v>133</v>
      </c>
    </row>
    <row r="19" spans="1:3" x14ac:dyDescent="0.3">
      <c r="A19" s="42" t="s">
        <v>14</v>
      </c>
      <c r="B19" s="83">
        <f>B5-(B13+B12*B14)</f>
        <v>3.4493382018858765E-2</v>
      </c>
      <c r="C19" s="43" t="s">
        <v>38</v>
      </c>
    </row>
    <row r="20" spans="1:3" ht="15" thickBot="1" x14ac:dyDescent="0.35">
      <c r="A20" s="44" t="s">
        <v>15</v>
      </c>
      <c r="B20" s="84">
        <f>(B5-B6)/(B10-B11)</f>
        <v>2.8561398646800598</v>
      </c>
      <c r="C20" s="45" t="s">
        <v>134</v>
      </c>
    </row>
    <row r="21" spans="1:3" ht="15" thickTop="1" x14ac:dyDescent="0.3"/>
    <row r="22" spans="1:3" ht="15" thickBot="1" x14ac:dyDescent="0.35">
      <c r="A22" s="3" t="s">
        <v>114</v>
      </c>
    </row>
    <row r="23" spans="1:3" ht="15" thickTop="1" x14ac:dyDescent="0.3">
      <c r="A23" s="40" t="s">
        <v>115</v>
      </c>
      <c r="B23" s="50" t="s">
        <v>35</v>
      </c>
      <c r="C23" s="41" t="s">
        <v>135</v>
      </c>
    </row>
    <row r="24" spans="1:3" x14ac:dyDescent="0.3">
      <c r="A24" s="42" t="s">
        <v>501</v>
      </c>
      <c r="B24" s="49" t="s">
        <v>120</v>
      </c>
      <c r="C24" s="43" t="s">
        <v>136</v>
      </c>
    </row>
    <row r="25" spans="1:3" x14ac:dyDescent="0.3">
      <c r="A25" s="42" t="s">
        <v>502</v>
      </c>
      <c r="B25" s="49" t="s">
        <v>121</v>
      </c>
      <c r="C25" s="43" t="s">
        <v>137</v>
      </c>
    </row>
    <row r="26" spans="1:3" ht="15" thickBot="1" x14ac:dyDescent="0.35">
      <c r="A26" s="44" t="s">
        <v>503</v>
      </c>
      <c r="B26" s="5" t="s">
        <v>122</v>
      </c>
      <c r="C26" s="45" t="s">
        <v>138</v>
      </c>
    </row>
    <row r="27" spans="1:3" ht="15" thickTop="1" x14ac:dyDescent="0.3"/>
  </sheetData>
  <pageMargins left="0.7" right="0.7" top="0.75" bottom="0.75" header="0.3" footer="0.3"/>
  <pageSetup scale="70" orientation="portrait" r:id="rId1"/>
  <ignoredErrors>
    <ignoredError sqref="B6 B11 B13:B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Views>
    <sheetView showGridLines="0" zoomScaleNormal="100" workbookViewId="0">
      <selection activeCell="B26" sqref="B26"/>
    </sheetView>
  </sheetViews>
  <sheetFormatPr defaultRowHeight="14.4" x14ac:dyDescent="0.3"/>
  <cols>
    <col min="1" max="1" width="42.6640625" style="6" customWidth="1"/>
    <col min="2" max="2" width="43.6640625" style="6" customWidth="1"/>
    <col min="3" max="3" width="27.6640625" style="6" customWidth="1"/>
    <col min="4" max="16384" width="8.88671875" style="6"/>
  </cols>
  <sheetData>
    <row r="1" spans="1:3" x14ac:dyDescent="0.3">
      <c r="A1" s="2" t="s">
        <v>183</v>
      </c>
    </row>
    <row r="2" spans="1:3" ht="15" thickBot="1" x14ac:dyDescent="0.35"/>
    <row r="3" spans="1:3" ht="15.6" thickTop="1" thickBot="1" x14ac:dyDescent="0.35">
      <c r="A3" s="7" t="s">
        <v>140</v>
      </c>
      <c r="B3" s="118" t="s">
        <v>154</v>
      </c>
      <c r="C3" s="119"/>
    </row>
    <row r="4" spans="1:3" ht="15" thickTop="1" x14ac:dyDescent="0.3">
      <c r="A4" s="40" t="s">
        <v>141</v>
      </c>
      <c r="B4" s="50" t="s">
        <v>155</v>
      </c>
      <c r="C4" s="41" t="s">
        <v>169</v>
      </c>
    </row>
    <row r="5" spans="1:3" x14ac:dyDescent="0.3">
      <c r="A5" s="42" t="s">
        <v>142</v>
      </c>
      <c r="B5" s="49" t="s">
        <v>156</v>
      </c>
      <c r="C5" s="43" t="s">
        <v>170</v>
      </c>
    </row>
    <row r="6" spans="1:3" ht="15" thickBot="1" x14ac:dyDescent="0.35">
      <c r="A6" s="44" t="s">
        <v>143</v>
      </c>
      <c r="B6" s="5" t="s">
        <v>157</v>
      </c>
      <c r="C6" s="45"/>
    </row>
    <row r="7" spans="1:3" ht="15.6" thickTop="1" thickBot="1" x14ac:dyDescent="0.35"/>
    <row r="8" spans="1:3" ht="15.6" thickTop="1" thickBot="1" x14ac:dyDescent="0.35">
      <c r="A8" s="7" t="s">
        <v>144</v>
      </c>
      <c r="B8" s="120" t="s">
        <v>154</v>
      </c>
      <c r="C8" s="121"/>
    </row>
    <row r="9" spans="1:3" ht="15" thickTop="1" x14ac:dyDescent="0.3">
      <c r="A9" s="40" t="s">
        <v>141</v>
      </c>
      <c r="B9" s="50" t="s">
        <v>158</v>
      </c>
      <c r="C9" s="41" t="s">
        <v>171</v>
      </c>
    </row>
    <row r="10" spans="1:3" x14ac:dyDescent="0.3">
      <c r="A10" s="42" t="s">
        <v>142</v>
      </c>
      <c r="B10" s="49" t="s">
        <v>159</v>
      </c>
      <c r="C10" s="43" t="s">
        <v>172</v>
      </c>
    </row>
    <row r="11" spans="1:3" ht="15" thickBot="1" x14ac:dyDescent="0.35">
      <c r="A11" s="44" t="s">
        <v>143</v>
      </c>
      <c r="B11" s="5" t="s">
        <v>160</v>
      </c>
      <c r="C11" s="45"/>
    </row>
    <row r="12" spans="1:3" ht="15.6" thickTop="1" thickBot="1" x14ac:dyDescent="0.35"/>
    <row r="13" spans="1:3" ht="15.6" thickTop="1" thickBot="1" x14ac:dyDescent="0.35">
      <c r="A13" s="7" t="s">
        <v>145</v>
      </c>
      <c r="B13" s="120" t="s">
        <v>154</v>
      </c>
      <c r="C13" s="121"/>
    </row>
    <row r="14" spans="1:3" ht="15" thickTop="1" x14ac:dyDescent="0.3">
      <c r="A14" s="40" t="s">
        <v>141</v>
      </c>
      <c r="B14" s="50" t="s">
        <v>161</v>
      </c>
      <c r="C14" s="41" t="s">
        <v>173</v>
      </c>
    </row>
    <row r="15" spans="1:3" x14ac:dyDescent="0.3">
      <c r="A15" s="42" t="s">
        <v>142</v>
      </c>
      <c r="B15" s="49" t="s">
        <v>162</v>
      </c>
      <c r="C15" s="43" t="s">
        <v>174</v>
      </c>
    </row>
    <row r="16" spans="1:3" ht="15" thickBot="1" x14ac:dyDescent="0.35">
      <c r="A16" s="44" t="s">
        <v>143</v>
      </c>
      <c r="B16" s="5" t="s">
        <v>163</v>
      </c>
      <c r="C16" s="45"/>
    </row>
    <row r="17" spans="1:3" ht="15.6" thickTop="1" thickBot="1" x14ac:dyDescent="0.35"/>
    <row r="18" spans="1:3" ht="15.6" thickTop="1" thickBot="1" x14ac:dyDescent="0.35">
      <c r="A18" s="7" t="s">
        <v>146</v>
      </c>
      <c r="B18" s="4" t="s">
        <v>164</v>
      </c>
      <c r="C18" s="8" t="s">
        <v>175</v>
      </c>
    </row>
    <row r="19" spans="1:3" ht="15" thickTop="1" x14ac:dyDescent="0.3">
      <c r="A19" s="46" t="s">
        <v>147</v>
      </c>
      <c r="B19" s="47" t="s">
        <v>165</v>
      </c>
      <c r="C19" s="48" t="s">
        <v>176</v>
      </c>
    </row>
    <row r="20" spans="1:3" x14ac:dyDescent="0.3">
      <c r="A20" s="42" t="s">
        <v>148</v>
      </c>
      <c r="B20" s="49" t="s">
        <v>166</v>
      </c>
      <c r="C20" s="43" t="s">
        <v>177</v>
      </c>
    </row>
    <row r="21" spans="1:3" ht="15" thickBot="1" x14ac:dyDescent="0.35">
      <c r="A21" s="44" t="s">
        <v>149</v>
      </c>
      <c r="B21" s="5" t="s">
        <v>167</v>
      </c>
      <c r="C21" s="45" t="s">
        <v>178</v>
      </c>
    </row>
    <row r="22" spans="1:3" ht="15.6" thickTop="1" thickBot="1" x14ac:dyDescent="0.35"/>
    <row r="23" spans="1:3" ht="15.6" thickTop="1" thickBot="1" x14ac:dyDescent="0.35">
      <c r="A23" s="7" t="s">
        <v>150</v>
      </c>
      <c r="B23" s="4" t="s">
        <v>168</v>
      </c>
      <c r="C23" s="8" t="s">
        <v>179</v>
      </c>
    </row>
    <row r="24" spans="1:3" ht="15" thickTop="1" x14ac:dyDescent="0.3">
      <c r="A24" s="46" t="s">
        <v>151</v>
      </c>
      <c r="B24" s="71">
        <f>'Portfolio Holdings'!P21-'Portfolio Holdings'!O21</f>
        <v>81635.428817522479</v>
      </c>
      <c r="C24" s="48" t="s">
        <v>180</v>
      </c>
    </row>
    <row r="25" spans="1:3" x14ac:dyDescent="0.3">
      <c r="A25" s="42" t="s">
        <v>152</v>
      </c>
      <c r="B25" s="72">
        <f>B24/15</f>
        <v>5442.3619211681653</v>
      </c>
      <c r="C25" s="43" t="s">
        <v>181</v>
      </c>
    </row>
    <row r="26" spans="1:3" ht="15" thickBot="1" x14ac:dyDescent="0.35">
      <c r="A26" s="44" t="s">
        <v>153</v>
      </c>
      <c r="B26" s="73">
        <f>MEDIAN('Portfolio Holdings'!Q6:Q20)</f>
        <v>4748.2014388489188</v>
      </c>
      <c r="C26" s="45" t="s">
        <v>182</v>
      </c>
    </row>
    <row r="27" spans="1:3" ht="15" thickTop="1" x14ac:dyDescent="0.3"/>
  </sheetData>
  <mergeCells count="3">
    <mergeCell ref="B3:C3"/>
    <mergeCell ref="B13:C13"/>
    <mergeCell ref="B8:C8"/>
  </mergeCells>
  <pageMargins left="0.7" right="0.7" top="0.75" bottom="0.75" header="0.3" footer="0.3"/>
  <pageSetup scale="7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4"/>
  <sheetViews>
    <sheetView showGridLines="0" topLeftCell="A13" zoomScaleNormal="100" workbookViewId="0">
      <selection activeCell="F20" sqref="F20"/>
    </sheetView>
  </sheetViews>
  <sheetFormatPr defaultRowHeight="14.4" x14ac:dyDescent="0.3"/>
  <cols>
    <col min="1" max="1" width="49.6640625" style="6" customWidth="1"/>
    <col min="2" max="2" width="42.6640625" style="6" customWidth="1"/>
    <col min="3" max="3" width="31.6640625" style="6" customWidth="1"/>
    <col min="4" max="16384" width="8.88671875" style="6"/>
  </cols>
  <sheetData>
    <row r="1" spans="1:3" x14ac:dyDescent="0.3">
      <c r="A1" s="2" t="s">
        <v>267</v>
      </c>
    </row>
    <row r="2" spans="1:3" ht="15" thickBot="1" x14ac:dyDescent="0.35"/>
    <row r="3" spans="1:3" ht="15.6" thickTop="1" thickBot="1" x14ac:dyDescent="0.35">
      <c r="A3" s="7" t="s">
        <v>184</v>
      </c>
      <c r="B3" s="4" t="s">
        <v>116</v>
      </c>
      <c r="C3" s="8" t="s">
        <v>240</v>
      </c>
    </row>
    <row r="4" spans="1:3" ht="15" thickTop="1" x14ac:dyDescent="0.3">
      <c r="A4" s="53" t="s">
        <v>185</v>
      </c>
      <c r="B4" s="115">
        <f>'MPT Analysis'!B12</f>
        <v>0.90559999999999996</v>
      </c>
      <c r="C4" s="55" t="s">
        <v>241</v>
      </c>
    </row>
    <row r="5" spans="1:3" x14ac:dyDescent="0.3">
      <c r="A5" s="56" t="s">
        <v>186</v>
      </c>
      <c r="B5" s="76">
        <v>0.19420000000000001</v>
      </c>
      <c r="C5" s="58" t="s">
        <v>242</v>
      </c>
    </row>
    <row r="6" spans="1:3" x14ac:dyDescent="0.3">
      <c r="A6" s="56" t="s">
        <v>187</v>
      </c>
      <c r="B6" s="57" t="s">
        <v>80</v>
      </c>
      <c r="C6" s="58" t="s">
        <v>243</v>
      </c>
    </row>
    <row r="7" spans="1:3" x14ac:dyDescent="0.3">
      <c r="A7" s="56" t="s">
        <v>188</v>
      </c>
      <c r="B7" s="57" t="s">
        <v>220</v>
      </c>
      <c r="C7" s="58" t="s">
        <v>244</v>
      </c>
    </row>
    <row r="8" spans="1:3" ht="15" thickBot="1" x14ac:dyDescent="0.35">
      <c r="A8" s="59" t="s">
        <v>189</v>
      </c>
      <c r="B8" s="60" t="s">
        <v>21</v>
      </c>
      <c r="C8" s="61" t="s">
        <v>245</v>
      </c>
    </row>
    <row r="9" spans="1:3" ht="15.6" thickTop="1" thickBot="1" x14ac:dyDescent="0.35"/>
    <row r="10" spans="1:3" ht="15.6" thickTop="1" thickBot="1" x14ac:dyDescent="0.35">
      <c r="A10" s="7" t="s">
        <v>190</v>
      </c>
      <c r="B10" s="4" t="s">
        <v>116</v>
      </c>
      <c r="C10" s="8" t="s">
        <v>246</v>
      </c>
    </row>
    <row r="11" spans="1:3" ht="15" thickTop="1" x14ac:dyDescent="0.3">
      <c r="A11" s="53" t="s">
        <v>191</v>
      </c>
      <c r="B11" s="117">
        <v>-0.3</v>
      </c>
      <c r="C11" s="55" t="s">
        <v>247</v>
      </c>
    </row>
    <row r="12" spans="1:3" x14ac:dyDescent="0.3">
      <c r="A12" s="56" t="s">
        <v>192</v>
      </c>
      <c r="B12" s="116">
        <v>-0.27</v>
      </c>
      <c r="C12" s="58" t="s">
        <v>248</v>
      </c>
    </row>
    <row r="13" spans="1:3" x14ac:dyDescent="0.3">
      <c r="A13" s="56" t="s">
        <v>193</v>
      </c>
      <c r="B13" s="109">
        <f>900000*B12</f>
        <v>-243000.00000000003</v>
      </c>
      <c r="C13" s="58" t="s">
        <v>249</v>
      </c>
    </row>
    <row r="14" spans="1:3" x14ac:dyDescent="0.3">
      <c r="A14" s="56" t="s">
        <v>194</v>
      </c>
      <c r="B14" s="78">
        <f>900000+B13</f>
        <v>657000</v>
      </c>
      <c r="C14" s="58" t="s">
        <v>250</v>
      </c>
    </row>
    <row r="15" spans="1:3" x14ac:dyDescent="0.3">
      <c r="A15" s="56" t="s">
        <v>195</v>
      </c>
      <c r="B15" s="77" t="s">
        <v>21</v>
      </c>
      <c r="C15" s="58" t="s">
        <v>251</v>
      </c>
    </row>
    <row r="16" spans="1:3" ht="15" thickBot="1" x14ac:dyDescent="0.35">
      <c r="A16" s="59" t="s">
        <v>196</v>
      </c>
      <c r="B16" s="79">
        <f>B15-B13</f>
        <v>343000</v>
      </c>
      <c r="C16" s="61" t="s">
        <v>252</v>
      </c>
    </row>
    <row r="17" spans="1:3" ht="15.6" thickTop="1" thickBot="1" x14ac:dyDescent="0.35"/>
    <row r="18" spans="1:3" ht="15.6" thickTop="1" thickBot="1" x14ac:dyDescent="0.35">
      <c r="A18" s="7" t="s">
        <v>197</v>
      </c>
      <c r="B18" s="4" t="s">
        <v>164</v>
      </c>
      <c r="C18" s="8" t="s">
        <v>253</v>
      </c>
    </row>
    <row r="19" spans="1:3" ht="15" thickTop="1" x14ac:dyDescent="0.3">
      <c r="A19" s="53" t="s">
        <v>198</v>
      </c>
      <c r="B19" s="54" t="s">
        <v>221</v>
      </c>
      <c r="C19" s="55" t="s">
        <v>254</v>
      </c>
    </row>
    <row r="20" spans="1:3" x14ac:dyDescent="0.3">
      <c r="A20" s="56" t="s">
        <v>199</v>
      </c>
      <c r="B20" s="57" t="s">
        <v>222</v>
      </c>
      <c r="C20" s="58" t="s">
        <v>255</v>
      </c>
    </row>
    <row r="21" spans="1:3" x14ac:dyDescent="0.3">
      <c r="A21" s="56" t="s">
        <v>200</v>
      </c>
      <c r="B21" s="57" t="s">
        <v>223</v>
      </c>
      <c r="C21" s="58" t="s">
        <v>256</v>
      </c>
    </row>
    <row r="22" spans="1:3" ht="15" thickBot="1" x14ac:dyDescent="0.35">
      <c r="A22" s="59" t="s">
        <v>201</v>
      </c>
      <c r="B22" s="60" t="s">
        <v>224</v>
      </c>
      <c r="C22" s="61" t="s">
        <v>255</v>
      </c>
    </row>
    <row r="23" spans="1:3" ht="15.6" thickTop="1" thickBot="1" x14ac:dyDescent="0.35"/>
    <row r="24" spans="1:3" ht="15.6" thickTop="1" thickBot="1" x14ac:dyDescent="0.35">
      <c r="A24" s="7" t="s">
        <v>202</v>
      </c>
      <c r="B24" s="4" t="s">
        <v>164</v>
      </c>
      <c r="C24" s="8" t="s">
        <v>253</v>
      </c>
    </row>
    <row r="25" spans="1:3" ht="15" thickTop="1" x14ac:dyDescent="0.3">
      <c r="A25" s="53" t="s">
        <v>203</v>
      </c>
      <c r="B25" s="54" t="s">
        <v>225</v>
      </c>
      <c r="C25" s="55" t="s">
        <v>255</v>
      </c>
    </row>
    <row r="26" spans="1:3" x14ac:dyDescent="0.3">
      <c r="A26" s="56" t="s">
        <v>204</v>
      </c>
      <c r="B26" s="57" t="s">
        <v>226</v>
      </c>
      <c r="C26" s="58" t="s">
        <v>257</v>
      </c>
    </row>
    <row r="27" spans="1:3" x14ac:dyDescent="0.3">
      <c r="A27" s="56" t="s">
        <v>205</v>
      </c>
      <c r="B27" s="57" t="s">
        <v>227</v>
      </c>
      <c r="C27" s="58" t="s">
        <v>255</v>
      </c>
    </row>
    <row r="28" spans="1:3" ht="15" thickBot="1" x14ac:dyDescent="0.35">
      <c r="A28" s="59" t="s">
        <v>206</v>
      </c>
      <c r="B28" s="60" t="s">
        <v>228</v>
      </c>
      <c r="C28" s="61" t="s">
        <v>257</v>
      </c>
    </row>
    <row r="29" spans="1:3" ht="15.6" thickTop="1" thickBot="1" x14ac:dyDescent="0.35"/>
    <row r="30" spans="1:3" ht="15.6" thickTop="1" thickBot="1" x14ac:dyDescent="0.35">
      <c r="A30" s="7" t="s">
        <v>207</v>
      </c>
      <c r="B30" s="4" t="s">
        <v>191</v>
      </c>
      <c r="C30" s="8" t="s">
        <v>258</v>
      </c>
    </row>
    <row r="31" spans="1:3" ht="15" thickTop="1" x14ac:dyDescent="0.3">
      <c r="A31" s="53" t="s">
        <v>208</v>
      </c>
      <c r="B31" s="54" t="s">
        <v>229</v>
      </c>
      <c r="C31" s="55" t="s">
        <v>259</v>
      </c>
    </row>
    <row r="32" spans="1:3" x14ac:dyDescent="0.3">
      <c r="A32" s="56" t="s">
        <v>209</v>
      </c>
      <c r="B32" s="57" t="s">
        <v>230</v>
      </c>
      <c r="C32" s="58" t="s">
        <v>260</v>
      </c>
    </row>
    <row r="33" spans="1:3" x14ac:dyDescent="0.3">
      <c r="A33" s="56" t="s">
        <v>210</v>
      </c>
      <c r="B33" s="57" t="s">
        <v>231</v>
      </c>
      <c r="C33" s="58" t="s">
        <v>261</v>
      </c>
    </row>
    <row r="34" spans="1:3" ht="15" thickBot="1" x14ac:dyDescent="0.35">
      <c r="A34" s="59" t="s">
        <v>211</v>
      </c>
      <c r="B34" s="60" t="s">
        <v>232</v>
      </c>
      <c r="C34" s="61" t="s">
        <v>262</v>
      </c>
    </row>
    <row r="35" spans="1:3" ht="15.6" thickTop="1" thickBot="1" x14ac:dyDescent="0.35"/>
    <row r="36" spans="1:3" ht="15.6" thickTop="1" thickBot="1" x14ac:dyDescent="0.35">
      <c r="A36" s="7" t="s">
        <v>212</v>
      </c>
      <c r="B36" s="4" t="s">
        <v>233</v>
      </c>
      <c r="C36" s="8" t="s">
        <v>240</v>
      </c>
    </row>
    <row r="37" spans="1:3" ht="15" thickTop="1" x14ac:dyDescent="0.3">
      <c r="A37" s="53" t="s">
        <v>213</v>
      </c>
      <c r="B37" s="54" t="s">
        <v>234</v>
      </c>
      <c r="C37" s="55" t="s">
        <v>263</v>
      </c>
    </row>
    <row r="38" spans="1:3" x14ac:dyDescent="0.3">
      <c r="A38" s="56" t="s">
        <v>214</v>
      </c>
      <c r="B38" s="57" t="s">
        <v>235</v>
      </c>
      <c r="C38" s="58" t="s">
        <v>263</v>
      </c>
    </row>
    <row r="39" spans="1:3" x14ac:dyDescent="0.3">
      <c r="A39" s="56" t="s">
        <v>215</v>
      </c>
      <c r="B39" s="57" t="s">
        <v>236</v>
      </c>
      <c r="C39" s="58" t="s">
        <v>263</v>
      </c>
    </row>
    <row r="40" spans="1:3" x14ac:dyDescent="0.3">
      <c r="A40" s="56" t="s">
        <v>216</v>
      </c>
      <c r="B40" s="57" t="s">
        <v>505</v>
      </c>
      <c r="C40" s="58" t="s">
        <v>263</v>
      </c>
    </row>
    <row r="41" spans="1:3" x14ac:dyDescent="0.3">
      <c r="A41" s="56" t="s">
        <v>217</v>
      </c>
      <c r="B41" s="57" t="s">
        <v>237</v>
      </c>
      <c r="C41" s="58" t="s">
        <v>264</v>
      </c>
    </row>
    <row r="42" spans="1:3" x14ac:dyDescent="0.3">
      <c r="A42" s="56" t="s">
        <v>218</v>
      </c>
      <c r="B42" s="57" t="s">
        <v>238</v>
      </c>
      <c r="C42" s="58" t="s">
        <v>265</v>
      </c>
    </row>
    <row r="43" spans="1:3" ht="15" thickBot="1" x14ac:dyDescent="0.35">
      <c r="A43" s="59" t="s">
        <v>219</v>
      </c>
      <c r="B43" s="60" t="s">
        <v>239</v>
      </c>
      <c r="C43" s="61" t="s">
        <v>266</v>
      </c>
    </row>
    <row r="44" spans="1:3" ht="15" thickTop="1" x14ac:dyDescent="0.3"/>
  </sheetData>
  <pageMargins left="0.7" right="0.7" top="0.75" bottom="0.75" header="0.3" footer="0.3"/>
  <pageSetup scale="72" orientation="portrait" r:id="rId1"/>
  <ignoredErrors>
    <ignoredError sqref="B15 B6:B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7"/>
  <sheetViews>
    <sheetView topLeftCell="A6" zoomScaleNormal="100" workbookViewId="0">
      <selection activeCell="C21" sqref="C21"/>
    </sheetView>
  </sheetViews>
  <sheetFormatPr defaultRowHeight="14.4" x14ac:dyDescent="0.3"/>
  <cols>
    <col min="1" max="1" width="36.44140625" style="6" bestFit="1" customWidth="1"/>
    <col min="2" max="2" width="38.6640625" style="6" customWidth="1"/>
    <col min="3" max="3" width="40.6640625" style="6" customWidth="1"/>
    <col min="4" max="16384" width="8.88671875" style="6"/>
  </cols>
  <sheetData>
    <row r="1" spans="1:3" x14ac:dyDescent="0.3">
      <c r="A1" s="2" t="s">
        <v>327</v>
      </c>
    </row>
    <row r="2" spans="1:3" ht="15" thickBot="1" x14ac:dyDescent="0.35"/>
    <row r="3" spans="1:3" ht="15.6" thickTop="1" thickBot="1" x14ac:dyDescent="0.35">
      <c r="A3" s="7" t="s">
        <v>268</v>
      </c>
      <c r="B3" s="4" t="s">
        <v>289</v>
      </c>
      <c r="C3" s="8" t="s">
        <v>154</v>
      </c>
    </row>
    <row r="4" spans="1:3" ht="15" thickTop="1" x14ac:dyDescent="0.3">
      <c r="A4" s="46" t="s">
        <v>269</v>
      </c>
      <c r="B4" s="47" t="s">
        <v>290</v>
      </c>
      <c r="C4" s="48" t="s">
        <v>309</v>
      </c>
    </row>
    <row r="5" spans="1:3" x14ac:dyDescent="0.3">
      <c r="A5" s="42" t="s">
        <v>270</v>
      </c>
      <c r="B5" s="49" t="s">
        <v>291</v>
      </c>
      <c r="C5" s="43" t="s">
        <v>310</v>
      </c>
    </row>
    <row r="6" spans="1:3" ht="15" thickBot="1" x14ac:dyDescent="0.35">
      <c r="A6" s="44" t="s">
        <v>271</v>
      </c>
      <c r="B6" s="5" t="s">
        <v>292</v>
      </c>
      <c r="C6" s="45" t="s">
        <v>311</v>
      </c>
    </row>
    <row r="7" spans="1:3" ht="15.6" thickTop="1" thickBot="1" x14ac:dyDescent="0.35"/>
    <row r="8" spans="1:3" ht="15.6" thickTop="1" thickBot="1" x14ac:dyDescent="0.35">
      <c r="A8" s="7" t="s">
        <v>272</v>
      </c>
      <c r="B8" s="4" t="s">
        <v>141</v>
      </c>
      <c r="C8" s="8" t="s">
        <v>164</v>
      </c>
    </row>
    <row r="9" spans="1:3" ht="15" thickTop="1" x14ac:dyDescent="0.3">
      <c r="A9" s="46" t="s">
        <v>273</v>
      </c>
      <c r="B9" s="47" t="s">
        <v>293</v>
      </c>
      <c r="C9" s="48" t="s">
        <v>312</v>
      </c>
    </row>
    <row r="10" spans="1:3" x14ac:dyDescent="0.3">
      <c r="A10" s="42" t="s">
        <v>274</v>
      </c>
      <c r="B10" s="49" t="s">
        <v>294</v>
      </c>
      <c r="C10" s="43" t="s">
        <v>313</v>
      </c>
    </row>
    <row r="11" spans="1:3" x14ac:dyDescent="0.3">
      <c r="A11" s="42" t="s">
        <v>275</v>
      </c>
      <c r="B11" s="49" t="s">
        <v>295</v>
      </c>
      <c r="C11" s="43" t="s">
        <v>314</v>
      </c>
    </row>
    <row r="12" spans="1:3" x14ac:dyDescent="0.3">
      <c r="A12" s="42" t="s">
        <v>276</v>
      </c>
      <c r="B12" s="49" t="s">
        <v>296</v>
      </c>
      <c r="C12" s="43" t="s">
        <v>315</v>
      </c>
    </row>
    <row r="13" spans="1:3" x14ac:dyDescent="0.3">
      <c r="A13" s="42" t="s">
        <v>277</v>
      </c>
      <c r="B13" s="49" t="s">
        <v>297</v>
      </c>
      <c r="C13" s="43" t="s">
        <v>316</v>
      </c>
    </row>
    <row r="14" spans="1:3" ht="15" thickBot="1" x14ac:dyDescent="0.35">
      <c r="A14" s="44" t="s">
        <v>278</v>
      </c>
      <c r="B14" s="5" t="s">
        <v>298</v>
      </c>
      <c r="C14" s="45" t="s">
        <v>317</v>
      </c>
    </row>
    <row r="15" spans="1:3" ht="15.6" thickTop="1" thickBot="1" x14ac:dyDescent="0.35"/>
    <row r="16" spans="1:3" ht="15.6" thickTop="1" thickBot="1" x14ac:dyDescent="0.35">
      <c r="A16" s="7" t="s">
        <v>279</v>
      </c>
      <c r="B16" s="4" t="s">
        <v>96</v>
      </c>
      <c r="C16" s="8" t="s">
        <v>318</v>
      </c>
    </row>
    <row r="17" spans="1:3" ht="15" thickTop="1" x14ac:dyDescent="0.3">
      <c r="A17" s="46" t="s">
        <v>69</v>
      </c>
      <c r="B17" s="47" t="s">
        <v>220</v>
      </c>
      <c r="C17" s="80">
        <f>('Portfolio Holdings'!H6+'Portfolio Holdings'!H7)/2</f>
        <v>7.8927692167411329E-2</v>
      </c>
    </row>
    <row r="18" spans="1:3" x14ac:dyDescent="0.3">
      <c r="A18" s="42" t="s">
        <v>71</v>
      </c>
      <c r="B18" s="49" t="s">
        <v>299</v>
      </c>
      <c r="C18" s="80">
        <f>('Portfolio Holdings'!H9+'Portfolio Holdings'!H10)/2</f>
        <v>0.12399777604144735</v>
      </c>
    </row>
    <row r="19" spans="1:3" x14ac:dyDescent="0.3">
      <c r="A19" s="42" t="s">
        <v>75</v>
      </c>
      <c r="B19" s="49" t="s">
        <v>300</v>
      </c>
      <c r="C19" s="80">
        <f>('Portfolio Holdings'!H14+'Portfolio Holdings'!H15)/2</f>
        <v>7.6596237074270088E-2</v>
      </c>
    </row>
    <row r="20" spans="1:3" x14ac:dyDescent="0.3">
      <c r="A20" s="42" t="s">
        <v>70</v>
      </c>
      <c r="B20" s="49" t="s">
        <v>80</v>
      </c>
      <c r="C20" s="81">
        <f>'Portfolio Holdings'!H8</f>
        <v>0.17994100294985252</v>
      </c>
    </row>
    <row r="21" spans="1:3" x14ac:dyDescent="0.3">
      <c r="A21" s="42" t="s">
        <v>78</v>
      </c>
      <c r="B21" s="49" t="s">
        <v>81</v>
      </c>
      <c r="C21" s="81">
        <f>('Portfolio Holdings'!H18+'Portfolio Holdings'!H20)/2</f>
        <v>5.3802255225522552E-2</v>
      </c>
    </row>
    <row r="22" spans="1:3" x14ac:dyDescent="0.3">
      <c r="A22" s="42" t="s">
        <v>74</v>
      </c>
      <c r="B22" s="49" t="s">
        <v>81</v>
      </c>
      <c r="C22" s="81">
        <f>'Portfolio Holdings'!H13</f>
        <v>6.9819819819819814E-2</v>
      </c>
    </row>
    <row r="23" spans="1:3" x14ac:dyDescent="0.3">
      <c r="A23" s="42" t="s">
        <v>73</v>
      </c>
      <c r="B23" s="49" t="s">
        <v>81</v>
      </c>
      <c r="C23" s="81">
        <f>'Portfolio Holdings'!H12</f>
        <v>5.0525262631315661E-2</v>
      </c>
    </row>
    <row r="24" spans="1:3" x14ac:dyDescent="0.3">
      <c r="A24" s="42" t="s">
        <v>72</v>
      </c>
      <c r="B24" s="49" t="s">
        <v>82</v>
      </c>
      <c r="C24" s="81">
        <f>'Portfolio Holdings'!H11</f>
        <v>7.9136690647482008E-2</v>
      </c>
    </row>
    <row r="25" spans="1:3" x14ac:dyDescent="0.3">
      <c r="A25" s="42" t="s">
        <v>76</v>
      </c>
      <c r="B25" s="49" t="s">
        <v>83</v>
      </c>
      <c r="C25" s="81">
        <f>'Portfolio Holdings'!H16</f>
        <v>0.10047846889952153</v>
      </c>
    </row>
    <row r="26" spans="1:3" x14ac:dyDescent="0.3">
      <c r="A26" s="42" t="s">
        <v>77</v>
      </c>
      <c r="B26" s="49" t="s">
        <v>84</v>
      </c>
      <c r="C26" s="81">
        <f>'Portfolio Holdings'!H17</f>
        <v>6.774668630338733E-2</v>
      </c>
    </row>
    <row r="27" spans="1:3" ht="15" thickBot="1" x14ac:dyDescent="0.35">
      <c r="A27" s="44" t="s">
        <v>79</v>
      </c>
      <c r="B27" s="5" t="s">
        <v>84</v>
      </c>
      <c r="C27" s="82">
        <f>'Portfolio Holdings'!H19</f>
        <v>6.3829787234042548E-2</v>
      </c>
    </row>
    <row r="28" spans="1:3" ht="15.6" thickTop="1" thickBot="1" x14ac:dyDescent="0.35"/>
    <row r="29" spans="1:3" ht="15.6" thickTop="1" thickBot="1" x14ac:dyDescent="0.35">
      <c r="A29" s="7" t="s">
        <v>281</v>
      </c>
      <c r="B29" s="4" t="s">
        <v>301</v>
      </c>
      <c r="C29" s="8" t="s">
        <v>319</v>
      </c>
    </row>
    <row r="30" spans="1:3" ht="15" thickTop="1" x14ac:dyDescent="0.3">
      <c r="A30" s="46" t="s">
        <v>282</v>
      </c>
      <c r="B30" s="47" t="s">
        <v>302</v>
      </c>
      <c r="C30" s="48" t="s">
        <v>320</v>
      </c>
    </row>
    <row r="31" spans="1:3" x14ac:dyDescent="0.3">
      <c r="A31" s="42" t="s">
        <v>283</v>
      </c>
      <c r="B31" s="49" t="s">
        <v>303</v>
      </c>
      <c r="C31" s="43" t="s">
        <v>321</v>
      </c>
    </row>
    <row r="32" spans="1:3" x14ac:dyDescent="0.3">
      <c r="A32" s="42" t="s">
        <v>284</v>
      </c>
      <c r="B32" s="49" t="s">
        <v>304</v>
      </c>
      <c r="C32" s="43" t="s">
        <v>322</v>
      </c>
    </row>
    <row r="33" spans="1:3" x14ac:dyDescent="0.3">
      <c r="A33" s="42" t="s">
        <v>285</v>
      </c>
      <c r="B33" s="49" t="s">
        <v>305</v>
      </c>
      <c r="C33" s="43" t="s">
        <v>323</v>
      </c>
    </row>
    <row r="34" spans="1:3" x14ac:dyDescent="0.3">
      <c r="A34" s="42" t="s">
        <v>286</v>
      </c>
      <c r="B34" s="49" t="s">
        <v>306</v>
      </c>
      <c r="C34" s="43" t="s">
        <v>324</v>
      </c>
    </row>
    <row r="35" spans="1:3" x14ac:dyDescent="0.3">
      <c r="A35" s="42" t="s">
        <v>287</v>
      </c>
      <c r="B35" s="49" t="s">
        <v>307</v>
      </c>
      <c r="C35" s="43" t="s">
        <v>325</v>
      </c>
    </row>
    <row r="36" spans="1:3" ht="15" thickBot="1" x14ac:dyDescent="0.35">
      <c r="A36" s="44" t="s">
        <v>288</v>
      </c>
      <c r="B36" s="5" t="s">
        <v>308</v>
      </c>
      <c r="C36" s="45" t="s">
        <v>326</v>
      </c>
    </row>
    <row r="37" spans="1:3" ht="15" thickTop="1" x14ac:dyDescent="0.3"/>
  </sheetData>
  <pageMargins left="0.7" right="0.7" top="0.75" bottom="0.75" header="0.3" footer="0.3"/>
  <pageSetup scale="78" orientation="portrait" r:id="rId1"/>
  <ignoredErrors>
    <ignoredError sqref="B17:B2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Views>
    <sheetView showGridLines="0" topLeftCell="A3" zoomScaleNormal="100" workbookViewId="0">
      <selection activeCell="G22" sqref="G22"/>
    </sheetView>
  </sheetViews>
  <sheetFormatPr defaultRowHeight="14.4" x14ac:dyDescent="0.3"/>
  <cols>
    <col min="1" max="1" width="40.109375" style="6" bestFit="1" customWidth="1"/>
    <col min="2" max="2" width="30.6640625" style="6" customWidth="1"/>
    <col min="3" max="3" width="31.6640625" style="6" customWidth="1"/>
    <col min="4" max="16384" width="8.88671875" style="6"/>
  </cols>
  <sheetData>
    <row r="1" spans="1:3" x14ac:dyDescent="0.3">
      <c r="A1" s="2" t="s">
        <v>383</v>
      </c>
    </row>
    <row r="2" spans="1:3" ht="15" thickBot="1" x14ac:dyDescent="0.35"/>
    <row r="3" spans="1:3" ht="15.6" thickTop="1" thickBot="1" x14ac:dyDescent="0.35">
      <c r="A3" s="7" t="s">
        <v>328</v>
      </c>
      <c r="B3" s="120" t="s">
        <v>154</v>
      </c>
      <c r="C3" s="121"/>
    </row>
    <row r="4" spans="1:3" ht="15" thickTop="1" x14ac:dyDescent="0.3">
      <c r="A4" s="40" t="s">
        <v>329</v>
      </c>
      <c r="B4" s="50" t="s">
        <v>350</v>
      </c>
      <c r="C4" s="41" t="s">
        <v>368</v>
      </c>
    </row>
    <row r="5" spans="1:3" x14ac:dyDescent="0.3">
      <c r="A5" s="42" t="s">
        <v>330</v>
      </c>
      <c r="B5" s="49" t="s">
        <v>351</v>
      </c>
      <c r="C5" s="43" t="s">
        <v>369</v>
      </c>
    </row>
    <row r="6" spans="1:3" ht="15" thickBot="1" x14ac:dyDescent="0.35">
      <c r="A6" s="44" t="s">
        <v>331</v>
      </c>
      <c r="B6" s="5" t="s">
        <v>117</v>
      </c>
      <c r="C6" s="45" t="s">
        <v>370</v>
      </c>
    </row>
    <row r="7" spans="1:3" ht="15.6" thickTop="1" thickBot="1" x14ac:dyDescent="0.35"/>
    <row r="8" spans="1:3" ht="15.6" thickTop="1" thickBot="1" x14ac:dyDescent="0.35">
      <c r="A8" s="7" t="s">
        <v>332</v>
      </c>
      <c r="B8" s="4" t="s">
        <v>352</v>
      </c>
      <c r="C8" s="8" t="s">
        <v>331</v>
      </c>
    </row>
    <row r="9" spans="1:3" ht="15" thickTop="1" x14ac:dyDescent="0.3">
      <c r="A9" s="46" t="s">
        <v>333</v>
      </c>
      <c r="B9" s="47" t="s">
        <v>353</v>
      </c>
      <c r="C9" s="48" t="s">
        <v>371</v>
      </c>
    </row>
    <row r="10" spans="1:3" x14ac:dyDescent="0.3">
      <c r="A10" s="42" t="s">
        <v>334</v>
      </c>
      <c r="B10" s="49" t="s">
        <v>354</v>
      </c>
      <c r="C10" s="43" t="s">
        <v>372</v>
      </c>
    </row>
    <row r="11" spans="1:3" x14ac:dyDescent="0.3">
      <c r="A11" s="42" t="s">
        <v>335</v>
      </c>
      <c r="B11" s="49" t="s">
        <v>355</v>
      </c>
      <c r="C11" s="43" t="s">
        <v>373</v>
      </c>
    </row>
    <row r="12" spans="1:3" x14ac:dyDescent="0.3">
      <c r="A12" s="42" t="s">
        <v>336</v>
      </c>
      <c r="B12" s="49" t="s">
        <v>356</v>
      </c>
      <c r="C12" s="43" t="s">
        <v>374</v>
      </c>
    </row>
    <row r="13" spans="1:3" x14ac:dyDescent="0.3">
      <c r="A13" s="42" t="s">
        <v>337</v>
      </c>
      <c r="B13" s="49" t="s">
        <v>357</v>
      </c>
      <c r="C13" s="43" t="s">
        <v>371</v>
      </c>
    </row>
    <row r="14" spans="1:3" ht="15" thickBot="1" x14ac:dyDescent="0.35">
      <c r="A14" s="44" t="s">
        <v>338</v>
      </c>
      <c r="B14" s="5" t="s">
        <v>358</v>
      </c>
      <c r="C14" s="45" t="s">
        <v>375</v>
      </c>
    </row>
    <row r="15" spans="1:3" ht="15.6" thickTop="1" thickBot="1" x14ac:dyDescent="0.35"/>
    <row r="16" spans="1:3" ht="15.6" thickTop="1" thickBot="1" x14ac:dyDescent="0.35">
      <c r="A16" s="7" t="s">
        <v>339</v>
      </c>
      <c r="B16" s="4" t="s">
        <v>359</v>
      </c>
      <c r="C16" s="8" t="s">
        <v>350</v>
      </c>
    </row>
    <row r="17" spans="1:6" ht="15" thickTop="1" x14ac:dyDescent="0.3">
      <c r="A17" s="46" t="s">
        <v>8</v>
      </c>
      <c r="B17" s="70">
        <f>'MPT Analysis'!B4</f>
        <v>8.3162675695049509E-2</v>
      </c>
      <c r="C17" s="48" t="s">
        <v>376</v>
      </c>
    </row>
    <row r="18" spans="1:6" x14ac:dyDescent="0.3">
      <c r="A18" s="42" t="s">
        <v>340</v>
      </c>
      <c r="B18" s="83">
        <f>'MPT Analysis'!B5</f>
        <v>0.17324138201885875</v>
      </c>
      <c r="C18" s="43" t="s">
        <v>26</v>
      </c>
    </row>
    <row r="19" spans="1:6" x14ac:dyDescent="0.3">
      <c r="A19" s="42" t="s">
        <v>331</v>
      </c>
      <c r="B19" s="83">
        <f>'MPT Analysis'!B10</f>
        <v>0.19420000000000004</v>
      </c>
      <c r="C19" s="43" t="s">
        <v>117</v>
      </c>
    </row>
    <row r="20" spans="1:6" x14ac:dyDescent="0.3">
      <c r="A20" s="42" t="s">
        <v>100</v>
      </c>
      <c r="B20" s="69">
        <f>'MPT Analysis'!B12</f>
        <v>0.90559999999999996</v>
      </c>
      <c r="C20" s="43" t="s">
        <v>377</v>
      </c>
    </row>
    <row r="21" spans="1:6" ht="15" thickBot="1" x14ac:dyDescent="0.35">
      <c r="A21" s="44" t="s">
        <v>12</v>
      </c>
      <c r="B21" s="84">
        <f>'MPT Analysis'!B17</f>
        <v>0.55067652944829415</v>
      </c>
      <c r="C21" s="45" t="s">
        <v>378</v>
      </c>
      <c r="F21" s="1"/>
    </row>
    <row r="22" spans="1:6" ht="15.6" thickTop="1" thickBot="1" x14ac:dyDescent="0.35"/>
    <row r="23" spans="1:6" ht="15.6" thickTop="1" thickBot="1" x14ac:dyDescent="0.35">
      <c r="A23" s="7" t="s">
        <v>341</v>
      </c>
      <c r="B23" s="4" t="s">
        <v>289</v>
      </c>
      <c r="C23" s="8" t="s">
        <v>164</v>
      </c>
    </row>
    <row r="24" spans="1:6" ht="15" thickTop="1" x14ac:dyDescent="0.3">
      <c r="A24" s="46" t="s">
        <v>342</v>
      </c>
      <c r="B24" s="47" t="s">
        <v>360</v>
      </c>
      <c r="C24" s="48" t="s">
        <v>379</v>
      </c>
    </row>
    <row r="25" spans="1:6" x14ac:dyDescent="0.3">
      <c r="A25" s="42" t="s">
        <v>343</v>
      </c>
      <c r="B25" s="49" t="s">
        <v>361</v>
      </c>
      <c r="C25" s="43" t="s">
        <v>380</v>
      </c>
    </row>
    <row r="26" spans="1:6" x14ac:dyDescent="0.3">
      <c r="A26" s="42" t="s">
        <v>344</v>
      </c>
      <c r="B26" s="49" t="s">
        <v>362</v>
      </c>
      <c r="C26" s="43" t="s">
        <v>381</v>
      </c>
    </row>
    <row r="27" spans="1:6" ht="15" thickBot="1" x14ac:dyDescent="0.35">
      <c r="A27" s="44" t="s">
        <v>290</v>
      </c>
      <c r="B27" s="5" t="s">
        <v>363</v>
      </c>
      <c r="C27" s="45" t="s">
        <v>382</v>
      </c>
    </row>
    <row r="28" spans="1:6" ht="15.6" thickTop="1" thickBot="1" x14ac:dyDescent="0.35"/>
    <row r="29" spans="1:6" ht="15.6" thickTop="1" thickBot="1" x14ac:dyDescent="0.35">
      <c r="A29" s="7" t="s">
        <v>345</v>
      </c>
      <c r="B29" s="4" t="s">
        <v>141</v>
      </c>
      <c r="C29" s="8" t="s">
        <v>164</v>
      </c>
    </row>
    <row r="30" spans="1:6" ht="15" thickTop="1" x14ac:dyDescent="0.3">
      <c r="A30" s="46" t="s">
        <v>346</v>
      </c>
      <c r="B30" s="47" t="s">
        <v>364</v>
      </c>
      <c r="C30" s="48" t="s">
        <v>257</v>
      </c>
    </row>
    <row r="31" spans="1:6" x14ac:dyDescent="0.3">
      <c r="A31" s="42" t="s">
        <v>347</v>
      </c>
      <c r="B31" s="49" t="s">
        <v>365</v>
      </c>
      <c r="C31" s="43" t="s">
        <v>255</v>
      </c>
    </row>
    <row r="32" spans="1:6" x14ac:dyDescent="0.3">
      <c r="A32" s="42" t="s">
        <v>348</v>
      </c>
      <c r="B32" s="49" t="s">
        <v>366</v>
      </c>
      <c r="C32" s="43" t="s">
        <v>255</v>
      </c>
    </row>
    <row r="33" spans="1:3" ht="15" thickBot="1" x14ac:dyDescent="0.35">
      <c r="A33" s="44" t="s">
        <v>349</v>
      </c>
      <c r="B33" s="5" t="s">
        <v>367</v>
      </c>
      <c r="C33" s="45" t="s">
        <v>254</v>
      </c>
    </row>
    <row r="34" spans="1:3" ht="15" thickTop="1" x14ac:dyDescent="0.3"/>
  </sheetData>
  <mergeCells count="1">
    <mergeCell ref="B3:C3"/>
  </mergeCells>
  <pageMargins left="0.7" right="0.7" top="0.75" bottom="0.75" header="0.3" footer="0.3"/>
  <pageSetup scale="88" orientation="portrait" r:id="rId1"/>
  <colBreaks count="1" manualBreakCount="1">
    <brk id="3" max="1048575" man="1"/>
  </colBreaks>
  <ignoredErrors>
    <ignoredError sqref="C9:C14 B6 B9:B14 C17:C2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0"/>
  <sheetViews>
    <sheetView showGridLines="0" zoomScaleNormal="100" workbookViewId="0">
      <selection activeCell="F13" sqref="F13"/>
    </sheetView>
  </sheetViews>
  <sheetFormatPr defaultRowHeight="14.4" x14ac:dyDescent="0.3"/>
  <cols>
    <col min="1" max="1" width="32.6640625" style="6" customWidth="1"/>
    <col min="2" max="2" width="14.6640625" style="6" customWidth="1"/>
    <col min="3" max="3" width="51.44140625" style="6" bestFit="1" customWidth="1"/>
    <col min="4" max="4" width="26.21875" style="6" bestFit="1" customWidth="1"/>
    <col min="5" max="16384" width="8.88671875" style="6"/>
  </cols>
  <sheetData>
    <row r="1" spans="1:3" x14ac:dyDescent="0.3">
      <c r="A1" s="2" t="s">
        <v>428</v>
      </c>
    </row>
    <row r="2" spans="1:3" ht="15" thickBot="1" x14ac:dyDescent="0.35"/>
    <row r="3" spans="1:3" ht="15.6" thickTop="1" thickBot="1" x14ac:dyDescent="0.35">
      <c r="A3" s="7" t="s">
        <v>384</v>
      </c>
      <c r="B3" s="4" t="s">
        <v>407</v>
      </c>
      <c r="C3" s="8" t="s">
        <v>240</v>
      </c>
    </row>
    <row r="4" spans="1:3" ht="15" thickTop="1" x14ac:dyDescent="0.3">
      <c r="A4" s="46" t="s">
        <v>385</v>
      </c>
      <c r="B4" s="47" t="s">
        <v>20</v>
      </c>
      <c r="C4" s="48" t="s">
        <v>413</v>
      </c>
    </row>
    <row r="5" spans="1:3" x14ac:dyDescent="0.3">
      <c r="A5" s="42" t="s">
        <v>386</v>
      </c>
      <c r="B5" s="83">
        <f>Benchmarking!B17</f>
        <v>8.3162675695049509E-2</v>
      </c>
      <c r="C5" s="43" t="s">
        <v>407</v>
      </c>
    </row>
    <row r="6" spans="1:3" x14ac:dyDescent="0.3">
      <c r="A6" s="42" t="s">
        <v>185</v>
      </c>
      <c r="B6" s="69">
        <f>Benchmarking!B20</f>
        <v>0.90559999999999996</v>
      </c>
      <c r="C6" s="43" t="s">
        <v>414</v>
      </c>
    </row>
    <row r="7" spans="1:3" x14ac:dyDescent="0.3">
      <c r="A7" s="42" t="s">
        <v>186</v>
      </c>
      <c r="B7" s="83">
        <f>Benchmarking!B19</f>
        <v>0.19420000000000004</v>
      </c>
      <c r="C7" s="43" t="s">
        <v>507</v>
      </c>
    </row>
    <row r="8" spans="1:3" x14ac:dyDescent="0.3">
      <c r="A8" s="42" t="s">
        <v>387</v>
      </c>
      <c r="B8" s="49" t="s">
        <v>408</v>
      </c>
      <c r="C8" s="43" t="s">
        <v>415</v>
      </c>
    </row>
    <row r="9" spans="1:3" x14ac:dyDescent="0.3">
      <c r="A9" s="42" t="s">
        <v>388</v>
      </c>
      <c r="B9" s="49" t="s">
        <v>408</v>
      </c>
      <c r="C9" s="43" t="s">
        <v>416</v>
      </c>
    </row>
    <row r="10" spans="1:3" x14ac:dyDescent="0.3">
      <c r="A10" s="42" t="s">
        <v>389</v>
      </c>
      <c r="B10" s="49" t="s">
        <v>409</v>
      </c>
      <c r="C10" s="43" t="s">
        <v>417</v>
      </c>
    </row>
    <row r="11" spans="1:3" ht="15" thickBot="1" x14ac:dyDescent="0.35">
      <c r="A11" s="44" t="s">
        <v>390</v>
      </c>
      <c r="B11" s="5" t="s">
        <v>21</v>
      </c>
      <c r="C11" s="45" t="s">
        <v>418</v>
      </c>
    </row>
    <row r="12" spans="1:3" ht="15.6" thickTop="1" thickBot="1" x14ac:dyDescent="0.35"/>
    <row r="13" spans="1:3" ht="15.6" thickTop="1" thickBot="1" x14ac:dyDescent="0.35">
      <c r="A13" s="7" t="s">
        <v>391</v>
      </c>
      <c r="B13" s="4" t="s">
        <v>410</v>
      </c>
      <c r="C13" s="8" t="s">
        <v>419</v>
      </c>
    </row>
    <row r="14" spans="1:3" ht="15" thickTop="1" x14ac:dyDescent="0.3">
      <c r="A14" s="46" t="s">
        <v>392</v>
      </c>
      <c r="B14" s="47" t="s">
        <v>344</v>
      </c>
      <c r="C14" s="48" t="s">
        <v>420</v>
      </c>
    </row>
    <row r="15" spans="1:3" x14ac:dyDescent="0.3">
      <c r="A15" s="42" t="s">
        <v>393</v>
      </c>
      <c r="B15" s="49" t="s">
        <v>344</v>
      </c>
      <c r="C15" s="43" t="s">
        <v>421</v>
      </c>
    </row>
    <row r="16" spans="1:3" x14ac:dyDescent="0.3">
      <c r="A16" s="42" t="s">
        <v>394</v>
      </c>
      <c r="B16" s="49" t="s">
        <v>344</v>
      </c>
      <c r="C16" s="43" t="s">
        <v>422</v>
      </c>
    </row>
    <row r="17" spans="1:3" x14ac:dyDescent="0.3">
      <c r="A17" s="42" t="s">
        <v>395</v>
      </c>
      <c r="B17" s="49" t="s">
        <v>344</v>
      </c>
      <c r="C17" s="43" t="s">
        <v>423</v>
      </c>
    </row>
    <row r="18" spans="1:3" x14ac:dyDescent="0.3">
      <c r="A18" s="42" t="s">
        <v>396</v>
      </c>
      <c r="B18" s="49" t="s">
        <v>344</v>
      </c>
      <c r="C18" s="43" t="s">
        <v>420</v>
      </c>
    </row>
    <row r="19" spans="1:3" x14ac:dyDescent="0.3">
      <c r="A19" s="42" t="s">
        <v>397</v>
      </c>
      <c r="B19" s="49" t="s">
        <v>344</v>
      </c>
      <c r="C19" s="43" t="s">
        <v>424</v>
      </c>
    </row>
    <row r="20" spans="1:3" x14ac:dyDescent="0.3">
      <c r="A20" s="42" t="s">
        <v>398</v>
      </c>
      <c r="B20" s="49" t="s">
        <v>344</v>
      </c>
      <c r="C20" s="43" t="s">
        <v>425</v>
      </c>
    </row>
    <row r="21" spans="1:3" x14ac:dyDescent="0.3">
      <c r="A21" s="42" t="s">
        <v>399</v>
      </c>
      <c r="B21" s="49" t="s">
        <v>344</v>
      </c>
      <c r="C21" s="43" t="s">
        <v>426</v>
      </c>
    </row>
    <row r="22" spans="1:3" ht="15" thickBot="1" x14ac:dyDescent="0.35">
      <c r="A22" s="44" t="s">
        <v>400</v>
      </c>
      <c r="B22" s="5" t="s">
        <v>344</v>
      </c>
      <c r="C22" s="45" t="s">
        <v>424</v>
      </c>
    </row>
    <row r="23" spans="1:3" ht="15.6" thickTop="1" thickBot="1" x14ac:dyDescent="0.35"/>
    <row r="24" spans="1:3" ht="15.6" thickTop="1" thickBot="1" x14ac:dyDescent="0.35">
      <c r="A24" s="7" t="s">
        <v>401</v>
      </c>
      <c r="B24" s="4" t="s">
        <v>301</v>
      </c>
      <c r="C24" s="8" t="s">
        <v>427</v>
      </c>
    </row>
    <row r="25" spans="1:3" ht="15" thickTop="1" x14ac:dyDescent="0.3">
      <c r="A25" s="46" t="s">
        <v>402</v>
      </c>
      <c r="B25" s="47" t="s">
        <v>302</v>
      </c>
      <c r="C25" s="85" t="s">
        <v>20</v>
      </c>
    </row>
    <row r="26" spans="1:3" x14ac:dyDescent="0.3">
      <c r="A26" s="42" t="s">
        <v>403</v>
      </c>
      <c r="B26" s="49" t="s">
        <v>411</v>
      </c>
      <c r="C26" s="86">
        <f>'Profit Booking Strategy'!B24/3+C25</f>
        <v>927211.80960584083</v>
      </c>
    </row>
    <row r="27" spans="1:3" x14ac:dyDescent="0.3">
      <c r="A27" s="42" t="s">
        <v>404</v>
      </c>
      <c r="B27" s="49" t="s">
        <v>305</v>
      </c>
      <c r="C27" s="86">
        <f>'Profit Booking Strategy'!B24/2+'Monitoring Dashboard'!C25</f>
        <v>940817.71440876124</v>
      </c>
    </row>
    <row r="28" spans="1:3" x14ac:dyDescent="0.3">
      <c r="A28" s="42" t="s">
        <v>405</v>
      </c>
      <c r="B28" s="49" t="s">
        <v>412</v>
      </c>
      <c r="C28" s="86">
        <f>'Profit Booking Strategy'!B24/6*5+'Monitoring Dashboard'!C25</f>
        <v>968029.52401460207</v>
      </c>
    </row>
    <row r="29" spans="1:3" ht="15" thickBot="1" x14ac:dyDescent="0.35">
      <c r="A29" s="44" t="s">
        <v>406</v>
      </c>
      <c r="B29" s="5" t="s">
        <v>308</v>
      </c>
      <c r="C29" s="87">
        <f>'Profit Booking Strategy'!B24+'Monitoring Dashboard'!C25</f>
        <v>981635.42881752248</v>
      </c>
    </row>
    <row r="30" spans="1:3" ht="15" thickTop="1" x14ac:dyDescent="0.3"/>
  </sheetData>
  <pageMargins left="0.7" right="0.7" top="0.75" bottom="0.75" header="0.3" footer="0.3"/>
  <pageSetup scale="72" orientation="portrait" r:id="rId1"/>
  <ignoredErrors>
    <ignoredError sqref="B4 B10:B11 C2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showGridLines="0" zoomScaleNormal="100" workbookViewId="0">
      <selection activeCell="A4" sqref="A4:A10"/>
    </sheetView>
  </sheetViews>
  <sheetFormatPr defaultColWidth="28.33203125" defaultRowHeight="15.6" x14ac:dyDescent="0.3"/>
  <cols>
    <col min="1" max="2" width="28.33203125" style="10"/>
    <col min="3" max="3" width="58.88671875" style="10" bestFit="1" customWidth="1"/>
    <col min="4" max="16384" width="28.33203125" style="10"/>
  </cols>
  <sheetData>
    <row r="1" spans="1:4" x14ac:dyDescent="0.3">
      <c r="A1" s="122" t="s">
        <v>459</v>
      </c>
      <c r="B1" s="122"/>
      <c r="C1" s="18"/>
    </row>
    <row r="2" spans="1:4" ht="16.2" thickBot="1" x14ac:dyDescent="0.35"/>
    <row r="3" spans="1:4" ht="16.8" thickTop="1" thickBot="1" x14ac:dyDescent="0.35">
      <c r="A3" s="21" t="s">
        <v>429</v>
      </c>
      <c r="B3" s="19" t="s">
        <v>441</v>
      </c>
      <c r="C3" s="19" t="s">
        <v>443</v>
      </c>
      <c r="D3" s="22" t="s">
        <v>452</v>
      </c>
    </row>
    <row r="4" spans="1:4" ht="16.2" thickTop="1" x14ac:dyDescent="0.3">
      <c r="A4" s="23" t="s">
        <v>430</v>
      </c>
      <c r="B4" s="20" t="s">
        <v>302</v>
      </c>
      <c r="C4" s="20" t="s">
        <v>444</v>
      </c>
      <c r="D4" s="24" t="s">
        <v>453</v>
      </c>
    </row>
    <row r="5" spans="1:4" x14ac:dyDescent="0.3">
      <c r="A5" s="12" t="s">
        <v>431</v>
      </c>
      <c r="B5" s="13" t="s">
        <v>303</v>
      </c>
      <c r="C5" s="13" t="s">
        <v>445</v>
      </c>
      <c r="D5" s="14" t="s">
        <v>454</v>
      </c>
    </row>
    <row r="6" spans="1:4" x14ac:dyDescent="0.3">
      <c r="A6" s="12" t="s">
        <v>432</v>
      </c>
      <c r="B6" s="13" t="s">
        <v>304</v>
      </c>
      <c r="C6" s="13" t="s">
        <v>446</v>
      </c>
      <c r="D6" s="14" t="s">
        <v>455</v>
      </c>
    </row>
    <row r="7" spans="1:4" x14ac:dyDescent="0.3">
      <c r="A7" s="12" t="s">
        <v>433</v>
      </c>
      <c r="B7" s="13" t="s">
        <v>305</v>
      </c>
      <c r="C7" s="13" t="s">
        <v>447</v>
      </c>
      <c r="D7" s="14" t="s">
        <v>456</v>
      </c>
    </row>
    <row r="8" spans="1:4" x14ac:dyDescent="0.3">
      <c r="A8" s="12" t="s">
        <v>434</v>
      </c>
      <c r="B8" s="13" t="s">
        <v>306</v>
      </c>
      <c r="C8" s="13" t="s">
        <v>448</v>
      </c>
      <c r="D8" s="14" t="s">
        <v>457</v>
      </c>
    </row>
    <row r="9" spans="1:4" x14ac:dyDescent="0.3">
      <c r="A9" s="12" t="s">
        <v>435</v>
      </c>
      <c r="B9" s="13" t="s">
        <v>307</v>
      </c>
      <c r="C9" s="13" t="s">
        <v>449</v>
      </c>
      <c r="D9" s="14" t="s">
        <v>458</v>
      </c>
    </row>
    <row r="10" spans="1:4" ht="16.2" thickBot="1" x14ac:dyDescent="0.35">
      <c r="A10" s="15" t="s">
        <v>436</v>
      </c>
      <c r="B10" s="16" t="s">
        <v>308</v>
      </c>
      <c r="C10" s="16" t="s">
        <v>450</v>
      </c>
      <c r="D10" s="17" t="s">
        <v>508</v>
      </c>
    </row>
    <row r="11" spans="1:4" ht="16.8" thickTop="1" thickBot="1" x14ac:dyDescent="0.35"/>
    <row r="12" spans="1:4" ht="16.8" thickTop="1" thickBot="1" x14ac:dyDescent="0.35">
      <c r="A12" s="21" t="s">
        <v>437</v>
      </c>
      <c r="B12" s="19" t="s">
        <v>442</v>
      </c>
      <c r="C12" s="22" t="s">
        <v>330</v>
      </c>
    </row>
    <row r="13" spans="1:4" ht="16.2" thickTop="1" x14ac:dyDescent="0.3">
      <c r="A13" s="23" t="s">
        <v>438</v>
      </c>
      <c r="B13" s="20" t="s">
        <v>302</v>
      </c>
      <c r="C13" s="24" t="s">
        <v>451</v>
      </c>
    </row>
    <row r="14" spans="1:4" x14ac:dyDescent="0.3">
      <c r="A14" s="12" t="s">
        <v>439</v>
      </c>
      <c r="B14" s="13" t="s">
        <v>305</v>
      </c>
      <c r="C14" s="89">
        <f>'MPT Analysis'!B4/2</f>
        <v>4.1581337847524755E-2</v>
      </c>
    </row>
    <row r="15" spans="1:4" ht="16.2" thickBot="1" x14ac:dyDescent="0.35">
      <c r="A15" s="15" t="s">
        <v>440</v>
      </c>
      <c r="B15" s="16" t="s">
        <v>308</v>
      </c>
      <c r="C15" s="88">
        <f>'MPT Analysis'!B4</f>
        <v>8.3162675695049509E-2</v>
      </c>
    </row>
    <row r="16" spans="1:4" ht="16.2" thickTop="1" x14ac:dyDescent="0.3"/>
  </sheetData>
  <mergeCells count="1">
    <mergeCell ref="A1:B1"/>
  </mergeCells>
  <pageMargins left="0.7" right="0.7" top="0.75" bottom="0.75" header="0.3" footer="0.3"/>
  <pageSetup paperSize="6" scale="62" orientation="landscape" r:id="rId1"/>
  <ignoredErrors>
    <ignoredError sqref="C13 A4:A1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Views>
    <sheetView showGridLines="0" tabSelected="1" topLeftCell="A11" zoomScaleNormal="100" workbookViewId="0">
      <selection activeCell="I38" sqref="I38"/>
    </sheetView>
  </sheetViews>
  <sheetFormatPr defaultRowHeight="15.6" x14ac:dyDescent="0.3"/>
  <cols>
    <col min="1" max="1" width="38.6640625" style="26" customWidth="1"/>
    <col min="2" max="2" width="15" style="26" bestFit="1" customWidth="1"/>
    <col min="3" max="3" width="25.6640625" style="26" customWidth="1"/>
    <col min="4" max="16384" width="8.88671875" style="26"/>
  </cols>
  <sheetData>
    <row r="1" spans="1:3" x14ac:dyDescent="0.3">
      <c r="A1" s="9" t="s">
        <v>495</v>
      </c>
    </row>
    <row r="2" spans="1:3" ht="16.2" thickBot="1" x14ac:dyDescent="0.35"/>
    <row r="3" spans="1:3" ht="16.8" thickTop="1" thickBot="1" x14ac:dyDescent="0.35">
      <c r="A3" s="21" t="s">
        <v>460</v>
      </c>
      <c r="B3" s="19" t="s">
        <v>116</v>
      </c>
      <c r="C3" s="22" t="s">
        <v>154</v>
      </c>
    </row>
    <row r="4" spans="1:3" ht="16.2" thickTop="1" x14ac:dyDescent="0.3">
      <c r="A4" s="37" t="s">
        <v>2</v>
      </c>
      <c r="B4" s="38" t="s">
        <v>19</v>
      </c>
      <c r="C4" s="62" t="s">
        <v>28</v>
      </c>
    </row>
    <row r="5" spans="1:3" x14ac:dyDescent="0.3">
      <c r="A5" s="30" t="s">
        <v>3</v>
      </c>
      <c r="B5" s="39" t="s">
        <v>20</v>
      </c>
      <c r="C5" s="32" t="s">
        <v>477</v>
      </c>
    </row>
    <row r="6" spans="1:3" x14ac:dyDescent="0.3">
      <c r="A6" s="30" t="s">
        <v>189</v>
      </c>
      <c r="B6" s="39" t="s">
        <v>21</v>
      </c>
      <c r="C6" s="32" t="s">
        <v>478</v>
      </c>
    </row>
    <row r="7" spans="1:3" x14ac:dyDescent="0.3">
      <c r="A7" s="30" t="s">
        <v>8</v>
      </c>
      <c r="B7" s="39" t="s">
        <v>24</v>
      </c>
      <c r="C7" s="32" t="s">
        <v>479</v>
      </c>
    </row>
    <row r="8" spans="1:3" x14ac:dyDescent="0.3">
      <c r="A8" s="30" t="s">
        <v>340</v>
      </c>
      <c r="B8" s="39" t="s">
        <v>25</v>
      </c>
      <c r="C8" s="32" t="s">
        <v>33</v>
      </c>
    </row>
    <row r="9" spans="1:3" x14ac:dyDescent="0.3">
      <c r="A9" s="30" t="s">
        <v>16</v>
      </c>
      <c r="B9" s="39" t="s">
        <v>26</v>
      </c>
      <c r="C9" s="32" t="s">
        <v>480</v>
      </c>
    </row>
    <row r="10" spans="1:3" ht="16.2" thickBot="1" x14ac:dyDescent="0.35">
      <c r="A10" s="33" t="s">
        <v>17</v>
      </c>
      <c r="B10" s="63" t="s">
        <v>27</v>
      </c>
      <c r="C10" s="35" t="s">
        <v>41</v>
      </c>
    </row>
    <row r="11" spans="1:3" ht="16.8" thickTop="1" thickBot="1" x14ac:dyDescent="0.35"/>
    <row r="12" spans="1:3" ht="16.8" thickTop="1" thickBot="1" x14ac:dyDescent="0.35">
      <c r="A12" s="21" t="s">
        <v>461</v>
      </c>
      <c r="B12" s="19" t="s">
        <v>116</v>
      </c>
      <c r="C12" s="22" t="s">
        <v>240</v>
      </c>
    </row>
    <row r="13" spans="1:3" ht="16.2" thickTop="1" x14ac:dyDescent="0.3">
      <c r="A13" s="37" t="s">
        <v>186</v>
      </c>
      <c r="B13" s="99">
        <f>Benchmarking!B19</f>
        <v>0.19420000000000004</v>
      </c>
      <c r="C13" s="62" t="s">
        <v>34</v>
      </c>
    </row>
    <row r="14" spans="1:3" x14ac:dyDescent="0.3">
      <c r="A14" s="30" t="s">
        <v>185</v>
      </c>
      <c r="B14" s="102">
        <f>Benchmarking!B20</f>
        <v>0.90559999999999996</v>
      </c>
      <c r="C14" s="32" t="s">
        <v>481</v>
      </c>
    </row>
    <row r="15" spans="1:3" x14ac:dyDescent="0.3">
      <c r="A15" s="30" t="s">
        <v>187</v>
      </c>
      <c r="B15" s="39" t="s">
        <v>80</v>
      </c>
      <c r="C15" s="32" t="s">
        <v>482</v>
      </c>
    </row>
    <row r="16" spans="1:3" x14ac:dyDescent="0.3">
      <c r="A16" s="30" t="s">
        <v>462</v>
      </c>
      <c r="B16" s="39" t="s">
        <v>220</v>
      </c>
      <c r="C16" s="32" t="s">
        <v>280</v>
      </c>
    </row>
    <row r="17" spans="1:3" ht="16.2" thickBot="1" x14ac:dyDescent="0.35">
      <c r="A17" s="33" t="s">
        <v>463</v>
      </c>
      <c r="B17" s="63" t="s">
        <v>476</v>
      </c>
      <c r="C17" s="35" t="s">
        <v>483</v>
      </c>
    </row>
    <row r="18" spans="1:3" ht="16.8" thickTop="1" thickBot="1" x14ac:dyDescent="0.35"/>
    <row r="19" spans="1:3" ht="16.8" thickTop="1" thickBot="1" x14ac:dyDescent="0.35">
      <c r="A19" s="21" t="s">
        <v>464</v>
      </c>
      <c r="B19" s="19" t="s">
        <v>116</v>
      </c>
      <c r="C19" s="22" t="s">
        <v>480</v>
      </c>
    </row>
    <row r="20" spans="1:3" ht="16.2" thickTop="1" x14ac:dyDescent="0.3">
      <c r="A20" s="37" t="s">
        <v>12</v>
      </c>
      <c r="B20" s="95">
        <f>'MPT Analysis'!B17</f>
        <v>0.55067652944829415</v>
      </c>
      <c r="C20" s="62" t="s">
        <v>484</v>
      </c>
    </row>
    <row r="21" spans="1:3" x14ac:dyDescent="0.3">
      <c r="A21" s="30" t="s">
        <v>13</v>
      </c>
      <c r="B21" s="96">
        <f>'MPT Analysis'!B18</f>
        <v>0.11808898191128396</v>
      </c>
      <c r="C21" s="32" t="s">
        <v>485</v>
      </c>
    </row>
    <row r="22" spans="1:3" x14ac:dyDescent="0.3">
      <c r="A22" s="30" t="s">
        <v>14</v>
      </c>
      <c r="B22" s="97">
        <f>'MPT Analysis'!B19</f>
        <v>3.4493382018858765E-2</v>
      </c>
      <c r="C22" s="32" t="s">
        <v>486</v>
      </c>
    </row>
    <row r="23" spans="1:3" ht="16.2" thickBot="1" x14ac:dyDescent="0.35">
      <c r="A23" s="33" t="s">
        <v>15</v>
      </c>
      <c r="B23" s="98">
        <f>'MPT Analysis'!B20</f>
        <v>2.8561398646800598</v>
      </c>
      <c r="C23" s="35" t="s">
        <v>39</v>
      </c>
    </row>
    <row r="24" spans="1:3" ht="16.8" thickTop="1" thickBot="1" x14ac:dyDescent="0.35"/>
    <row r="25" spans="1:3" ht="16.8" thickTop="1" thickBot="1" x14ac:dyDescent="0.35">
      <c r="A25" s="21" t="s">
        <v>465</v>
      </c>
      <c r="B25" s="19" t="s">
        <v>116</v>
      </c>
      <c r="C25" s="22" t="s">
        <v>246</v>
      </c>
    </row>
    <row r="26" spans="1:3" ht="16.2" thickTop="1" x14ac:dyDescent="0.3">
      <c r="A26" s="37" t="s">
        <v>466</v>
      </c>
      <c r="B26" s="94">
        <v>0.27</v>
      </c>
      <c r="C26" s="62" t="s">
        <v>487</v>
      </c>
    </row>
    <row r="27" spans="1:3" x14ac:dyDescent="0.3">
      <c r="A27" s="30" t="s">
        <v>467</v>
      </c>
      <c r="B27" s="92">
        <f>'Risk Management'!B13</f>
        <v>-243000.00000000003</v>
      </c>
      <c r="C27" s="32" t="s">
        <v>488</v>
      </c>
    </row>
    <row r="28" spans="1:3" x14ac:dyDescent="0.3">
      <c r="A28" s="30" t="s">
        <v>468</v>
      </c>
      <c r="B28" s="90">
        <f>'Risk Management'!B14</f>
        <v>657000</v>
      </c>
      <c r="C28" s="32" t="s">
        <v>489</v>
      </c>
    </row>
    <row r="29" spans="1:3" x14ac:dyDescent="0.3">
      <c r="A29" s="30" t="s">
        <v>469</v>
      </c>
      <c r="B29" s="90" t="s">
        <v>21</v>
      </c>
      <c r="C29" s="32" t="s">
        <v>30</v>
      </c>
    </row>
    <row r="30" spans="1:3" ht="16.2" thickBot="1" x14ac:dyDescent="0.35">
      <c r="A30" s="33" t="s">
        <v>470</v>
      </c>
      <c r="B30" s="91">
        <f>'Risk Management'!B16</f>
        <v>343000</v>
      </c>
      <c r="C30" s="35" t="s">
        <v>490</v>
      </c>
    </row>
    <row r="31" spans="1:3" ht="16.8" thickTop="1" thickBot="1" x14ac:dyDescent="0.35"/>
    <row r="32" spans="1:3" ht="16.8" thickTop="1" thickBot="1" x14ac:dyDescent="0.35">
      <c r="A32" s="21" t="s">
        <v>471</v>
      </c>
      <c r="B32" s="19" t="s">
        <v>116</v>
      </c>
      <c r="C32" s="22" t="s">
        <v>491</v>
      </c>
    </row>
    <row r="33" spans="1:3" ht="16.2" thickTop="1" x14ac:dyDescent="0.3">
      <c r="A33" s="37" t="s">
        <v>472</v>
      </c>
      <c r="B33" s="93">
        <f>'Profit Booking Strategy'!B24</f>
        <v>81635.428817522479</v>
      </c>
      <c r="C33" s="62" t="s">
        <v>180</v>
      </c>
    </row>
    <row r="34" spans="1:3" x14ac:dyDescent="0.3">
      <c r="A34" s="30" t="s">
        <v>152</v>
      </c>
      <c r="B34" s="90">
        <f>'Profit Booking Strategy'!B25</f>
        <v>5442.3619211681653</v>
      </c>
      <c r="C34" s="32" t="s">
        <v>181</v>
      </c>
    </row>
    <row r="35" spans="1:3" x14ac:dyDescent="0.3">
      <c r="A35" s="30" t="s">
        <v>153</v>
      </c>
      <c r="B35" s="90">
        <f>'Profit Booking Strategy'!B26</f>
        <v>4748.2014388489188</v>
      </c>
      <c r="C35" s="32" t="s">
        <v>182</v>
      </c>
    </row>
    <row r="36" spans="1:3" x14ac:dyDescent="0.3">
      <c r="A36" s="30" t="s">
        <v>473</v>
      </c>
      <c r="B36" s="90">
        <f>(0.33*'Profit Booking Strategy'!B25)</f>
        <v>1795.9794339854946</v>
      </c>
      <c r="C36" s="32" t="s">
        <v>492</v>
      </c>
    </row>
    <row r="37" spans="1:3" x14ac:dyDescent="0.3">
      <c r="A37" s="30" t="s">
        <v>474</v>
      </c>
      <c r="B37" s="90">
        <f>0.5*'Profit Booking Strategy'!B25</f>
        <v>2721.1809605840826</v>
      </c>
      <c r="C37" s="32" t="s">
        <v>493</v>
      </c>
    </row>
    <row r="38" spans="1:3" ht="16.2" thickBot="1" x14ac:dyDescent="0.35">
      <c r="A38" s="33" t="s">
        <v>475</v>
      </c>
      <c r="B38" s="91">
        <f>0.17*'Profit Booking Strategy'!B25</f>
        <v>925.2015265985882</v>
      </c>
      <c r="C38" s="35" t="s">
        <v>494</v>
      </c>
    </row>
    <row r="39" spans="1:3" ht="16.2" thickTop="1" x14ac:dyDescent="0.3"/>
  </sheetData>
  <pageMargins left="0.7" right="0.7" top="0.75" bottom="0.75" header="0.3" footer="0.3"/>
  <pageSetup orientation="portrait" r:id="rId1"/>
  <ignoredErrors>
    <ignoredError sqref="B15:B16 B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Executive Summary</vt:lpstr>
      <vt:lpstr>Portfolio Holdings</vt:lpstr>
      <vt:lpstr>MPT Analysis</vt:lpstr>
      <vt:lpstr>Profit Booking Strategy</vt:lpstr>
      <vt:lpstr>Risk Management</vt:lpstr>
      <vt:lpstr>Rebalancing Strategy</vt:lpstr>
      <vt:lpstr>Benchmarking</vt:lpstr>
      <vt:lpstr>Monitoring Dashboard</vt:lpstr>
      <vt:lpstr>Action Plan Timeline</vt:lpstr>
      <vt:lpstr>Key Metrics Summary</vt:lpstr>
      <vt:lpstr>Benchmarking!Print_Area</vt:lpstr>
      <vt:lpstr>'Executive Summary'!Print_Area</vt:lpstr>
      <vt:lpstr>'Key Metrics Summary'!Print_Area</vt:lpstr>
      <vt:lpstr>'Portfolio Holdings'!Print_Area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sashank Billionaire</dc:creator>
  <cp:lastModifiedBy>User</cp:lastModifiedBy>
  <cp:lastPrinted>2025-12-10T20:25:00Z</cp:lastPrinted>
  <dcterms:created xsi:type="dcterms:W3CDTF">2025-12-10T18:07:58Z</dcterms:created>
  <dcterms:modified xsi:type="dcterms:W3CDTF">2025-12-15T05:45:19Z</dcterms:modified>
</cp:coreProperties>
</file>